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Plans" sheetId="3" state="visible" r:id="rId5"/>
    <sheet name="Feature Matrix" sheetId="4" state="visible" r:id="rId6"/>
    <sheet name="Credit Menu" sheetId="5" state="visible" r:id="rId7"/>
    <sheet name="Video Credits" sheetId="6" state="visible" r:id="rId8"/>
    <sheet name="Add-ons &amp; Packs" sheetId="7" state="visible" r:id="rId9"/>
    <sheet name="Retention &amp; Growth" sheetId="8" state="visible" r:id="rId10"/>
    <sheet name="Unit Costs" sheetId="9" state="visible" r:id="rId11"/>
    <sheet name="Model Routing" sheetId="10" state="visible" r:id="rId12"/>
    <sheet name="Vendor Prices" sheetId="11" state="visible" r:id="rId13"/>
    <sheet name="Fixed Costs" sheetId="12" state="visible" r:id="rId14"/>
    <sheet name="Projection" sheetId="13" state="visible" r:id="rId15"/>
    <sheet name="Break-even" sheetId="14" state="visible" r:id="rId16"/>
    <sheet name="KIE vs OpenRouter" sheetId="15" state="visible" r:id="rId17"/>
    <sheet name="v1 vs v2" sheetId="16" state="visible" r:id="rId18"/>
    <sheet name="PKR Pricing" sheetId="17" state="visible" r:id="rId19"/>
    <sheet name="Risks &amp; Fixes" sheetId="18" state="visible" r:id="rId20"/>
    <sheet name="Calibrate (SQL)"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<sst xmlns="http://schemas.openxmlformats.org/spreadsheetml/2006/main" count="2192" uniqueCount="1377">
  <si>
    <t xml:space="preserve">Mellox AI: pricing and cost model v2 (OpenRouter model stack)</t>
  </si>
  <si>
    <t xml:space="preserve">Built from your model-migration spec and prices checked 2026-09-25. USD per month unless marked.</t>
  </si>
  <si>
    <t xml:space="preserve">How to use</t>
  </si>
  <si>
    <t xml:space="preserve">Blue = input, black = formula, green = link to another tab, yellow = the levers that move the answer. Swap a tier model on Inputs, a price on Vendor Prices or a plan limit on Plans and every tab updates. Video provider mode (split / openrouter / kie) and the Post for Me price are on Inputs.</t>
  </si>
  <si>
    <t xml:space="preserve">Plan</t>
  </si>
  <si>
    <t xml:space="preserve">Price</t>
  </si>
  <si>
    <t xml:space="preserve">Annual price</t>
  </si>
  <si>
    <t xml:space="preserve">Credits</t>
  </si>
  <si>
    <t xml:space="preserve">Video credits</t>
  </si>
  <si>
    <t xml:space="preserve">Pro messages</t>
  </si>
  <si>
    <t xml:space="preserve">Cost to serve (typical)</t>
  </si>
  <si>
    <t xml:space="preserve">Margin typical / worst</t>
  </si>
  <si>
    <t xml:space="preserve">Free</t>
  </si>
  <si>
    <t xml:space="preserve">Starter</t>
  </si>
  <si>
    <t xml:space="preserve">Growth</t>
  </si>
  <si>
    <t xml:space="preserve">Agency</t>
  </si>
  <si>
    <t xml:space="preserve">Scale</t>
  </si>
  <si>
    <t xml:space="preserve">Key number</t>
  </si>
  <si>
    <t xml:space="preserve">Value</t>
  </si>
  <si>
    <t xml:space="preserve">Blended cost per Mellox credit</t>
  </si>
  <si>
    <t xml:space="preserve">Margin on credits at face value</t>
  </si>
  <si>
    <t xml:space="preserve">Cost per video credit, OpenRouter</t>
  </si>
  <si>
    <t xml:space="preserve">Cost per video credit, KIE</t>
  </si>
  <si>
    <t xml:space="preserve">Chat message: Mellox Flash / Pro</t>
  </si>
  <si>
    <t xml:space="preserve">Brand DNA scan</t>
  </si>
  <si>
    <t xml:space="preserve">Premium article</t>
  </si>
  <si>
    <t xml:space="preserve">Image post</t>
  </si>
  <si>
    <t xml:space="preserve">One tracked prompt, 3 engines</t>
  </si>
  <si>
    <t xml:space="preserve">Standard 8s video on OpenRouter</t>
  </si>
  <si>
    <t xml:space="preserve">Fixed costs at launch</t>
  </si>
  <si>
    <t xml:space="preserve">Break-even month (active scenario)</t>
  </si>
  <si>
    <t xml:space="preserve">MRR at month 12 / 24</t>
  </si>
  <si>
    <t xml:space="preserve">Top risks (details on Risks &amp; Fixes)</t>
  </si>
  <si>
    <t xml:space="preserve">[High] KIE carries Veo and Grok for now. If KIE goes away, Standard Veo 3.1 Fast 8s goes from $0.30 to $0.84 and Draft from $0.15 to $0.42.</t>
  </si>
  <si>
    <t xml:space="preserve">[High] Grok Imagine on OpenRouter costs $0.14/s (about $0.90 for 6s) versus $0.12 on KIE. If variation ever falls back to it, it costs more than a Standard video.</t>
  </si>
  <si>
    <t xml:space="preserve">[Medium] Social posting moved to Post for Me: $10 for 1,000 posts, unlimited accounts. Posts are now unlimited on every plan, Free included, and never use credits. A spam or bot account on Free could post thousands of times.</t>
  </si>
  <si>
    <t xml:space="preserve">[High] GEO probes: GPT-5.6 Luna and Gemini 3.8 Flash answer from memory (no web search), so they do not show what ChatGPT or Gemini users actually see. Google AI Overviews are not tracked at all, although the product promises them.</t>
  </si>
  <si>
    <t xml:space="preserve">[High] Premium routes now cost 2-9x more: Brand DNA $0.08 -&gt; $0.24, articles $0.02 -&gt; $0.20, Coach $0.10 -&gt; $0.20, Market Brain $0.12 -&gt; $0.25, GEO fix $0.10 -&gt; $0.29.</t>
  </si>
  <si>
    <t xml:space="preserve">[Medium] Every free signup triggers an Opus Brand DNA scan + Brand Kit analysis: about $0.34 each, paid upfront even if the user never returns.</t>
  </si>
  <si>
    <t xml:space="preserve">Global inputs, model tiers and levers</t>
  </si>
  <si>
    <t xml:space="preserve">Blue = typed input, green = from Vendor Prices, yellow = levers that move the answer most.</t>
  </si>
  <si>
    <t xml:space="preserve">Lever</t>
  </si>
  <si>
    <t xml:space="preserve">Notes / source</t>
  </si>
  <si>
    <t xml:space="preserve">USD to PKR rate</t>
  </si>
  <si>
    <t xml:space="preserve">Credit face value (USD per Mellox credit)</t>
  </si>
  <si>
    <t xml:space="preserve">Same unit as the backlink ledger (100 credits per $)</t>
  </si>
  <si>
    <t xml:space="preserve">OpenRouter credit fee</t>
  </si>
  <si>
    <t xml:space="preserve">Now charged on text, images and video</t>
  </si>
  <si>
    <t xml:space="preserve">Anthropic tokenizer factor (Opus family)</t>
  </si>
  <si>
    <t xml:space="preserve">New Claude tokenizer counts 1.0-1.35x tokens</t>
  </si>
  <si>
    <t xml:space="preserve">PREMIUM tier model</t>
  </si>
  <si>
    <t xml:space="preserve">anthropic/claude-opus-5.5</t>
  </si>
  <si>
    <t xml:space="preserve">task-models.ts PREMIUM</t>
  </si>
  <si>
    <t xml:space="preserve">WORKHORSE tier model</t>
  </si>
  <si>
    <t xml:space="preserve">google/gemini-3.8-flash</t>
  </si>
  <si>
    <t xml:space="preserve">task-models.ts WORKHORSE</t>
  </si>
  <si>
    <t xml:space="preserve">ECONOMY tier model</t>
  </si>
  <si>
    <t xml:space="preserve">google/gemini-3.1-flash-lite</t>
  </si>
  <si>
    <t xml:space="preserve">task-models.ts ECONOMY</t>
  </si>
  <si>
    <t xml:space="preserve">PREMIUM fallback</t>
  </si>
  <si>
    <t xml:space="preserve">Spec: falls back to WORKHORSE (effort high)</t>
  </si>
  <si>
    <t xml:space="preserve">WORKHORSE fallback</t>
  </si>
  <si>
    <t xml:space="preserve">openai/gpt-5.6-terra</t>
  </si>
  <si>
    <t xml:space="preserve">ECONOMY fallback</t>
  </si>
  <si>
    <t xml:space="preserve">openai/gpt-5.6-luna</t>
  </si>
  <si>
    <t xml:space="preserve">Share of calls answered by the fallback model</t>
  </si>
  <si>
    <t xml:space="preserve">Watch in metering: answering model is now recorded</t>
  </si>
  <si>
    <t xml:space="preserve">Payment processor % (Paddle)</t>
  </si>
  <si>
    <t xml:space="preserve">Payment fixed fee per transaction</t>
  </si>
  <si>
    <t xml:space="preserve">Payout FX spread</t>
  </si>
  <si>
    <t xml:space="preserve">Pakistan IT export tax</t>
  </si>
  <si>
    <t xml:space="preserve">Image re-roll factor</t>
  </si>
  <si>
    <t xml:space="preserve">Users re-roll ~30% of images</t>
  </si>
  <si>
    <t xml:space="preserve">Typical use of included credits</t>
  </si>
  <si>
    <t xml:space="preserve">Typical use of included video credits</t>
  </si>
  <si>
    <t xml:space="preserve">Video allowances get used more than general credits</t>
  </si>
  <si>
    <t xml:space="preserve">Typical use of included Mellox Pro messages</t>
  </si>
  <si>
    <t xml:space="preserve">Weeks per month</t>
  </si>
  <si>
    <t xml:space="preserve">Days per month</t>
  </si>
  <si>
    <t xml:space="preserve">Post for Me cost per published post</t>
  </si>
  <si>
    <t xml:space="preserve">Plan price / posts included. A post to 3 networks counts as 3 (assumed)</t>
  </si>
  <si>
    <t xml:space="preserve">Share of KIE renders that fall back to OpenRouter</t>
  </si>
  <si>
    <t xml:space="preserve">KIE outage or refusal; fallback is billed at OpenRouter prices</t>
  </si>
  <si>
    <t xml:space="preserve">GEO crawl compute per page</t>
  </si>
  <si>
    <t xml:space="preserve">Tavily $ per credit</t>
  </si>
  <si>
    <t xml:space="preserve">Video provider mode (split / openrouter / kie)</t>
  </si>
  <si>
    <t xml:space="preserve">split</t>
  </si>
  <si>
    <t xml:space="preserve">split = KIE for Veo (Standard, Draft) and Grok (Variation), OpenRouter for Premium, Cinematic, Long take and Studio</t>
  </si>
  <si>
    <t xml:space="preserve">Annual billing discount (2 months free)</t>
  </si>
  <si>
    <t xml:space="preserve">Pay 10 months, get 12</t>
  </si>
  <si>
    <t xml:space="preserve">Share of customers on annual</t>
  </si>
  <si>
    <t xml:space="preserve">Target margin: text and research credits</t>
  </si>
  <si>
    <t xml:space="preserve">Target margin: image credits</t>
  </si>
  <si>
    <t xml:space="preserve">Target margin: video credits (in packs)</t>
  </si>
  <si>
    <t xml:space="preserve">Video market is price-competitive</t>
  </si>
  <si>
    <t xml:space="preserve">Backlink margin multiplier (recommended)</t>
  </si>
  <si>
    <t xml:space="preserve">Blended COGS per general credit</t>
  </si>
  <si>
    <t xml:space="preserve">From Credit Menu mix</t>
  </si>
  <si>
    <t xml:space="preserve">Blended COGS per video credit</t>
  </si>
  <si>
    <t xml:space="preserve">From Video Credits mix, active provider</t>
  </si>
  <si>
    <t xml:space="preserve">Reasoning tokens per call (estimate; calibrate from metering)</t>
  </si>
  <si>
    <t xml:space="preserve">Tier</t>
  </si>
  <si>
    <t xml:space="preserve">low</t>
  </si>
  <si>
    <t xml:space="preserve">medium</t>
  </si>
  <si>
    <t xml:space="preserve">high</t>
  </si>
  <si>
    <t xml:space="preserve">PREMIUM</t>
  </si>
  <si>
    <t xml:space="preserve">WORKHORSE</t>
  </si>
  <si>
    <t xml:space="preserve">ECONOMY</t>
  </si>
  <si>
    <t xml:space="preserve">Reasoning tokens bill at the output price and count against max_tokens. Opus 5.5 always thinks; Gemini 3.8 Flash thinks unless effort is set low.</t>
  </si>
  <si>
    <t xml:space="preserve">Plans v2: allowances and unit economics per customer (monthly, USD)</t>
  </si>
  <si>
    <t xml:space="preserve">Blue = plan design inputs. Typical = realistic usage. Worst = every allowance maxed at once. Video is its own allowance.</t>
  </si>
  <si>
    <t xml:space="preserve">Line</t>
  </si>
  <si>
    <t xml:space="preserve">Unit</t>
  </si>
  <si>
    <t xml:space="preserve">Notes</t>
  </si>
  <si>
    <t xml:space="preserve">PLAN DESIGN (inputs)</t>
  </si>
  <si>
    <t xml:space="preserve">List price, monthly billing</t>
  </si>
  <si>
    <t xml:space="preserve">$ / month</t>
  </si>
  <si>
    <t xml:space="preserve">v1 draft was $49 / $149 / $399 / $999</t>
  </si>
  <si>
    <t xml:space="preserve">Price on annual billing</t>
  </si>
  <si>
    <t xml:space="preserve">Brands (client workspaces)</t>
  </si>
  <si>
    <t xml:space="preserve">count</t>
  </si>
  <si>
    <t xml:space="preserve">Extra brand add-on $39</t>
  </si>
  <si>
    <t xml:space="preserve">Seats</t>
  </si>
  <si>
    <t xml:space="preserve">users</t>
  </si>
  <si>
    <t xml:space="preserve">9999 = unlimited</t>
  </si>
  <si>
    <t xml:space="preserve">Mellox credits (non-video AI work)</t>
  </si>
  <si>
    <t xml:space="preserve">credits / month</t>
  </si>
  <si>
    <t xml:space="preserve">Free = 100 one-time, modeled as 50/month</t>
  </si>
  <si>
    <t xml:space="preserve">Video credits (1 VC = one 8s Standard video)</t>
  </si>
  <si>
    <t xml:space="preserve">VC / month</t>
  </si>
  <si>
    <t xml:space="preserve">Separate from credits; packs for more</t>
  </si>
  <si>
    <t xml:space="preserve">Mellox Pro (Opus 5.5) chat messages</t>
  </si>
  <si>
    <t xml:space="preserve">messages / month</t>
  </si>
  <si>
    <t xml:space="preserve">Then 25 credits per message</t>
  </si>
  <si>
    <t xml:space="preserve">Mellox Flash chat fair use</t>
  </si>
  <si>
    <t xml:space="preserve">Then 2 credits per message</t>
  </si>
  <si>
    <t xml:space="preserve">Mellox Flash chat, typical</t>
  </si>
  <si>
    <t xml:space="preserve">Tracked AI-visibility prompts (weekly)</t>
  </si>
  <si>
    <t xml:space="preserve">prompts</t>
  </si>
  <si>
    <t xml:space="preserve">Pooled across brands</t>
  </si>
  <si>
    <t xml:space="preserve">Engine: Perplexity (Sonar)</t>
  </si>
  <si>
    <t xml:space="preserve">1 = on</t>
  </si>
  <si>
    <t xml:space="preserve">Engine: 'ChatGPT' (GPT-5.6 Luna)</t>
  </si>
  <si>
    <t xml:space="preserve">No web search: see Risks</t>
  </si>
  <si>
    <t xml:space="preserve">Engine: Gemini (3.8 Flash)</t>
  </si>
  <si>
    <t xml:space="preserve">Engine: Google AI Overviews (DataForSEO) - add-on</t>
  </si>
  <si>
    <t xml:space="preserve">$15 add-on per 100 prompts</t>
  </si>
  <si>
    <t xml:space="preserve">Checks per prompt per engine</t>
  </si>
  <si>
    <t xml:space="preserve">per month</t>
  </si>
  <si>
    <t xml:space="preserve">Weekly; daily is an add-on</t>
  </si>
  <si>
    <t xml:space="preserve">Site scans</t>
  </si>
  <si>
    <t xml:space="preserve">Max pages per scan</t>
  </si>
  <si>
    <t xml:space="preserve">pages</t>
  </si>
  <si>
    <t xml:space="preserve">Competitors tracked</t>
  </si>
  <si>
    <t xml:space="preserve">Update sweeps per competitor</t>
  </si>
  <si>
    <t xml:space="preserve">About twice a week when active</t>
  </si>
  <si>
    <t xml:space="preserve">Market Brain: brands refreshed weekly</t>
  </si>
  <si>
    <t xml:space="preserve">Weekly for every brand on the plan</t>
  </si>
  <si>
    <t xml:space="preserve">Market Brain: brands refreshed daily</t>
  </si>
  <si>
    <t xml:space="preserve">Daily is a $29/brand add-on (Opus refresh = $0.25)</t>
  </si>
  <si>
    <t xml:space="preserve">Weekly auto Coach briefing (brands)</t>
  </si>
  <si>
    <t xml:space="preserve">The Monday email that brings people back</t>
  </si>
  <si>
    <t xml:space="preserve">Social posts a month, typical (each network counts)</t>
  </si>
  <si>
    <t xml:space="preserve">posts</t>
  </si>
  <si>
    <t xml:space="preserve">Unlimited on every plan, never uses credits</t>
  </si>
  <si>
    <t xml:space="preserve">Social posts a month, fair-use cap (shown as unlimited)</t>
  </si>
  <si>
    <t xml:space="preserve">Fair-use cap (about 500 posts per brand); worst case uses it</t>
  </si>
  <si>
    <t xml:space="preserve">Proof Engine experiments open</t>
  </si>
  <si>
    <t xml:space="preserve">Video renders at once</t>
  </si>
  <si>
    <t xml:space="preserve">UGC_MAX_CONCURRENT_RENDERS</t>
  </si>
  <si>
    <t xml:space="preserve">Publishing available</t>
  </si>
  <si>
    <t xml:space="preserve">1 = yes</t>
  </si>
  <si>
    <t xml:space="preserve">Free plan publishes too (unlimited posts)</t>
  </si>
  <si>
    <t xml:space="preserve">Background load vs a paid brand</t>
  </si>
  <si>
    <t xml:space="preserve">x</t>
  </si>
  <si>
    <t xml:space="preserve">Free brands run no agents or Market Brain</t>
  </si>
  <si>
    <t xml:space="preserve">MONTHLY COST TO SERVE (formulas)</t>
  </si>
  <si>
    <t xml:space="preserve">Cost of 1 prompt across enabled engines</t>
  </si>
  <si>
    <t xml:space="preserve">$</t>
  </si>
  <si>
    <t xml:space="preserve">AI-visibility prompt tracking</t>
  </si>
  <si>
    <t xml:space="preserve">Competitor tracking</t>
  </si>
  <si>
    <t xml:space="preserve">Market Brain</t>
  </si>
  <si>
    <t xml:space="preserve">Weekly Coach briefings</t>
  </si>
  <si>
    <t xml:space="preserve">Publishing (typical posts)</t>
  </si>
  <si>
    <t xml:space="preserve">Publishing (fair-use cap reached)</t>
  </si>
  <si>
    <t xml:space="preserve">Background jobs + storage</t>
  </si>
  <si>
    <t xml:space="preserve">Onboarding (Brand DNA + Brand Kit, over 12 months)</t>
  </si>
  <si>
    <t xml:space="preserve">Mellox Flash chat (typical)</t>
  </si>
  <si>
    <t xml:space="preserve">Mellox Flash chat (cap reached)</t>
  </si>
  <si>
    <t xml:space="preserve">Mellox Pro chat (typical use of allowance)</t>
  </si>
  <si>
    <t xml:space="preserve">Mellox Pro chat (allowance used up)</t>
  </si>
  <si>
    <t xml:space="preserve">Included credits (typical use)</t>
  </si>
  <si>
    <t xml:space="preserve">Included credits (all spent)</t>
  </si>
  <si>
    <t xml:space="preserve">Video credits (typical use)</t>
  </si>
  <si>
    <t xml:space="preserve">Video credits (all spent)</t>
  </si>
  <si>
    <t xml:space="preserve">COST TO SERVE: typical</t>
  </si>
  <si>
    <t xml:space="preserve">COST TO SERVE: worst case</t>
  </si>
  <si>
    <t xml:space="preserve">MARGIN: MONTHLY BILLING</t>
  </si>
  <si>
    <t xml:space="preserve">Payment processing (Paddle)</t>
  </si>
  <si>
    <t xml:space="preserve">FX payout + export tax</t>
  </si>
  <si>
    <t xml:space="preserve">Contribution: typical</t>
  </si>
  <si>
    <t xml:space="preserve">Gross margin: typical</t>
  </si>
  <si>
    <t xml:space="preserve">%</t>
  </si>
  <si>
    <t xml:space="preserve">Contribution: worst case</t>
  </si>
  <si>
    <t xml:space="preserve">Gross margin: worst case</t>
  </si>
  <si>
    <t xml:space="preserve">MARGIN: ANNUAL BILLING</t>
  </si>
  <si>
    <t xml:space="preserve">GUARDRAILS FOR src/server/plans.ts</t>
  </si>
  <si>
    <t xml:space="preserve">Safety ceiling: monthlyUsd (all metered spend)</t>
  </si>
  <si>
    <t xml:space="preserve">Per billing account; add purchased credits/VC on top</t>
  </si>
  <si>
    <t xml:space="preserve">Safety ceiling: dailyUsd</t>
  </si>
  <si>
    <t xml:space="preserve">$ / day</t>
  </si>
  <si>
    <t xml:space="preserve">Typical cost to serve per brand</t>
  </si>
  <si>
    <t xml:space="preserve">Price per brand</t>
  </si>
  <si>
    <t xml:space="preserve">What each plan includes, by module</t>
  </si>
  <si>
    <t xml:space="preserve">Included = no extra charge. Credits = paid from the monthly Mellox credits. VC = paid from Video Credits.</t>
  </si>
  <si>
    <t xml:space="preserve">Module</t>
  </si>
  <si>
    <t xml:space="preserve">Feature</t>
  </si>
  <si>
    <t xml:space="preserve">How it is metered</t>
  </si>
  <si>
    <t xml:space="preserve">Brand &amp; onboarding</t>
  </si>
  <si>
    <t xml:space="preserve">Brand DNA scan (Opus 5.5)</t>
  </si>
  <si>
    <t xml:space="preserve">1 brand</t>
  </si>
  <si>
    <t xml:space="preserve">3 brands</t>
  </si>
  <si>
    <t xml:space="preserve">10 brands</t>
  </si>
  <si>
    <t xml:space="preserve">30 brands</t>
  </si>
  <si>
    <t xml:space="preserve">First scan per brand included; re-scan 125 credits</t>
  </si>
  <si>
    <t xml:space="preserve">Brand Kit: visual + voice analysis</t>
  </si>
  <si>
    <t xml:space="preserve">-</t>
  </si>
  <si>
    <t xml:space="preserve">Yes</t>
  </si>
  <si>
    <t xml:space="preserve">Included at onboarding; re-run 45 credits</t>
  </si>
  <si>
    <t xml:space="preserve">Assistant memory</t>
  </si>
  <si>
    <t xml:space="preserve">Included</t>
  </si>
  <si>
    <t xml:space="preserve">Mellox Assistant</t>
  </si>
  <si>
    <t xml:space="preserve">Mellox Flash chat (Gemini 3.8 Flash)</t>
  </si>
  <si>
    <t xml:space="preserve">30 messages</t>
  </si>
  <si>
    <t xml:space="preserve">800 / month</t>
  </si>
  <si>
    <t xml:space="preserve">2,000</t>
  </si>
  <si>
    <t xml:space="preserve">5,000</t>
  </si>
  <si>
    <t xml:space="preserve">12,000</t>
  </si>
  <si>
    <t xml:space="preserve">Fair use, then 2 credits per message</t>
  </si>
  <si>
    <t xml:space="preserve">Mellox Pro chat (Claude Opus 5.5)</t>
  </si>
  <si>
    <t xml:space="preserve">30 / month</t>
  </si>
  <si>
    <t xml:space="preserve">150</t>
  </si>
  <si>
    <t xml:space="preserve">400 pooled</t>
  </si>
  <si>
    <t xml:space="preserve">1,200 pooled</t>
  </si>
  <si>
    <t xml:space="preserve">Live web research in chat</t>
  </si>
  <si>
    <t xml:space="preserve">File and image understanding</t>
  </si>
  <si>
    <t xml:space="preserve">3 files</t>
  </si>
  <si>
    <t xml:space="preserve">4 credits per file</t>
  </si>
  <si>
    <t xml:space="preserve">Studio</t>
  </si>
  <si>
    <t xml:space="preserve">Social posts, image posts, carousels, ads, scripts</t>
  </si>
  <si>
    <t xml:space="preserve">Credits (7-30)</t>
  </si>
  <si>
    <t xml:space="preserve">Premium articles, GEO-grounded (Opus 5.5)</t>
  </si>
  <si>
    <t xml:space="preserve">100-140 credits</t>
  </si>
  <si>
    <t xml:space="preserve">Premium images and image edits</t>
  </si>
  <si>
    <t xml:space="preserve">Credits (15-40)</t>
  </si>
  <si>
    <t xml:space="preserve">Campaign plans</t>
  </si>
  <si>
    <t xml:space="preserve">55 credits</t>
  </si>
  <si>
    <t xml:space="preserve">Content calendar and scheduling</t>
  </si>
  <si>
    <t xml:space="preserve">Approval workflows</t>
  </si>
  <si>
    <t xml:space="preserve">UGC video ads</t>
  </si>
  <si>
    <t xml:space="preserve">UGC concepts, hooks and scripts</t>
  </si>
  <si>
    <t xml:space="preserve">25 credits</t>
  </si>
  <si>
    <t xml:space="preserve">Video credits per month</t>
  </si>
  <si>
    <t xml:space="preserve">4</t>
  </si>
  <si>
    <t xml:space="preserve">12</t>
  </si>
  <si>
    <t xml:space="preserve">40 pooled</t>
  </si>
  <si>
    <t xml:space="preserve">100 pooled</t>
  </si>
  <si>
    <t xml:space="preserve">Video Packs for more; never paid with general credits</t>
  </si>
  <si>
    <t xml:space="preserve">Draft and Standard video, 720p</t>
  </si>
  <si>
    <t xml:space="preserve">0.5 / 1 VC</t>
  </si>
  <si>
    <t xml:space="preserve">1080p, Premium and Long-take video</t>
  </si>
  <si>
    <t xml:space="preserve">0.75-2 VC</t>
  </si>
  <si>
    <t xml:space="preserve">Cinematic multi-shot video</t>
  </si>
  <si>
    <t xml:space="preserve">2 VC</t>
  </si>
  <si>
    <t xml:space="preserve">Renders at the same time</t>
  </si>
  <si>
    <t xml:space="preserve">1</t>
  </si>
  <si>
    <t xml:space="preserve">2</t>
  </si>
  <si>
    <t xml:space="preserve">8</t>
  </si>
  <si>
    <t xml:space="preserve">Concurrency limit</t>
  </si>
  <si>
    <t xml:space="preserve">AI Visibility</t>
  </si>
  <si>
    <t xml:space="preserve">Tracked prompts, checked weekly</t>
  </si>
  <si>
    <t xml:space="preserve">5</t>
  </si>
  <si>
    <t xml:space="preserve">25</t>
  </si>
  <si>
    <t xml:space="preserve">100</t>
  </si>
  <si>
    <t xml:space="preserve">300 pooled</t>
  </si>
  <si>
    <t xml:space="preserve">1,000 pooled</t>
  </si>
  <si>
    <t xml:space="preserve">+100 prompts $39; daily tracking add-on</t>
  </si>
  <si>
    <t xml:space="preserve">Answer engines</t>
  </si>
  <si>
    <t xml:space="preserve">ChatGPT, Gemini</t>
  </si>
  <si>
    <t xml:space="preserve">+ Perplexity</t>
  </si>
  <si>
    <t xml:space="preserve">3 engines</t>
  </si>
  <si>
    <t xml:space="preserve">Google AI Overviews add-on $15 / 100 prompts</t>
  </si>
  <si>
    <t xml:space="preserve">Site scans per month (max pages)</t>
  </si>
  <si>
    <t xml:space="preserve">1 (25)</t>
  </si>
  <si>
    <t xml:space="preserve">4 (50)</t>
  </si>
  <si>
    <t xml:space="preserve">10 (150)</t>
  </si>
  <si>
    <t xml:space="preserve">30 (300)</t>
  </si>
  <si>
    <t xml:space="preserve">90 (500)</t>
  </si>
  <si>
    <t xml:space="preserve">Extra scan 35 credits per 100 pages</t>
  </si>
  <si>
    <t xml:space="preserve">Findings, scores, readiness dashboard</t>
  </si>
  <si>
    <t xml:space="preserve">GEO fix proposals</t>
  </si>
  <si>
    <t xml:space="preserve">View findings</t>
  </si>
  <si>
    <t xml:space="preserve">150 credits per finding</t>
  </si>
  <si>
    <t xml:space="preserve">CMS fixes (WordPress, Webflow)</t>
  </si>
  <si>
    <t xml:space="preserve">GitHub PR fixes + GEO Engineer agent</t>
  </si>
  <si>
    <t xml:space="preserve">800 credits per run</t>
  </si>
  <si>
    <t xml:space="preserve">Verification rescans after fixes</t>
  </si>
  <si>
    <t xml:space="preserve">3</t>
  </si>
  <si>
    <t xml:space="preserve">15</t>
  </si>
  <si>
    <t xml:space="preserve">50</t>
  </si>
  <si>
    <t xml:space="preserve">70 credits each</t>
  </si>
  <si>
    <t xml:space="preserve">Intelligence</t>
  </si>
  <si>
    <t xml:space="preserve">Weekly Marketing Coach briefing (auto)</t>
  </si>
  <si>
    <t xml:space="preserve">On-demand briefing 100 credits</t>
  </si>
  <si>
    <t xml:space="preserve">Market Brain market updates</t>
  </si>
  <si>
    <t xml:space="preserve">Weekly, 1 brand</t>
  </si>
  <si>
    <t xml:space="preserve">Weekly, 3</t>
  </si>
  <si>
    <t xml:space="preserve">Weekly, 10</t>
  </si>
  <si>
    <t xml:space="preserve">Weekly, 30</t>
  </si>
  <si>
    <t xml:space="preserve">Daily add-on $29 per brand</t>
  </si>
  <si>
    <t xml:space="preserve">10</t>
  </si>
  <si>
    <t xml:space="preserve">30</t>
  </si>
  <si>
    <t xml:space="preserve">90</t>
  </si>
  <si>
    <t xml:space="preserve">Discovery 25 credits</t>
  </si>
  <si>
    <t xml:space="preserve">Competitor intelligence reports</t>
  </si>
  <si>
    <t xml:space="preserve">30 credits</t>
  </si>
  <si>
    <t xml:space="preserve">GA4 and Search Console insights</t>
  </si>
  <si>
    <t xml:space="preserve">Distribution</t>
  </si>
  <si>
    <t xml:space="preserve">Social publishing (all networks, unlimited accounts)</t>
  </si>
  <si>
    <t xml:space="preserve">Unlimited posts</t>
  </si>
  <si>
    <t xml:space="preserve">Unlimited</t>
  </si>
  <si>
    <t xml:space="preserve">Never uses credits; fair use</t>
  </si>
  <si>
    <t xml:space="preserve">WordPress and Webflow publishing</t>
  </si>
  <si>
    <t xml:space="preserve">Backlink marketplace</t>
  </si>
  <si>
    <t xml:space="preserve">Provider price x 1.75</t>
  </si>
  <si>
    <t xml:space="preserve">Team &amp; agency</t>
  </si>
  <si>
    <t xml:space="preserve">+$15 per seat</t>
  </si>
  <si>
    <t xml:space="preserve">Client portal and share links</t>
  </si>
  <si>
    <t xml:space="preserve">Agency command center, white-label</t>
  </si>
  <si>
    <t xml:space="preserve">Included; white-label domain $49</t>
  </si>
  <si>
    <t xml:space="preserve">Pooled credits and VC across brands</t>
  </si>
  <si>
    <t xml:space="preserve">SSO, API access, SLA</t>
  </si>
  <si>
    <t xml:space="preserve">Retention</t>
  </si>
  <si>
    <t xml:space="preserve">Credit and VC rollover</t>
  </si>
  <si>
    <t xml:space="preserve">Annual plans</t>
  </si>
  <si>
    <t xml:space="preserve">Up to 1 month of allowance</t>
  </si>
  <si>
    <t xml:space="preserve">Pause plan instead of cancel ($9 / month)</t>
  </si>
  <si>
    <t xml:space="preserve">Keeps data + 10 weekly prompts</t>
  </si>
  <si>
    <t xml:space="preserve">Support</t>
  </si>
  <si>
    <t xml:space="preserve">Community</t>
  </si>
  <si>
    <t xml:space="preserve">Email</t>
  </si>
  <si>
    <t xml:space="preserve">Email, 24 h</t>
  </si>
  <si>
    <t xml:space="preserve">Priority + onboarding call</t>
  </si>
  <si>
    <t xml:space="preserve">Dedicated manager</t>
  </si>
  <si>
    <t xml:space="preserve">Mellox Credits: price list for non-video AI work (1 credit = $0.01)</t>
  </si>
  <si>
    <t xml:space="preserve">Video is NOT paid with these credits: it has its own Video Credits (next tab). Blue = credits charged. Status flags anything below target margin.</t>
  </si>
  <si>
    <t xml:space="preserve">Action (what the customer sees)</t>
  </si>
  <si>
    <t xml:space="preserve">COGS ($)</t>
  </si>
  <si>
    <t xml:space="preserve">List price ($)</t>
  </si>
  <si>
    <t xml:space="preserve">Margin</t>
  </si>
  <si>
    <t xml:space="preserve">Target</t>
  </si>
  <si>
    <t xml:space="preserve">Status</t>
  </si>
  <si>
    <t xml:space="preserve">Credits for target</t>
  </si>
  <si>
    <t xml:space="preserve">Expected share of use</t>
  </si>
  <si>
    <t xml:space="preserve">COGS per credit ($)</t>
  </si>
  <si>
    <t xml:space="preserve">Unit cost ID</t>
  </si>
  <si>
    <t xml:space="preserve">Change vs v1 (credits)</t>
  </si>
  <si>
    <t xml:space="preserve">Social post set (up to 3 platforms)</t>
  </si>
  <si>
    <t xml:space="preserve">per job</t>
  </si>
  <si>
    <t xml:space="preserve">post_set</t>
  </si>
  <si>
    <t xml:space="preserve">Image post (copy + image)</t>
  </si>
  <si>
    <t xml:space="preserve">image_post</t>
  </si>
  <si>
    <t xml:space="preserve">Carousel</t>
  </si>
  <si>
    <t xml:space="preserve">carousel</t>
  </si>
  <si>
    <t xml:space="preserve">Ad set (copy + image)</t>
  </si>
  <si>
    <t xml:space="preserve">ad_set</t>
  </si>
  <si>
    <t xml:space="preserve">Premium article (~1,200 words, GEO-grounded)</t>
  </si>
  <si>
    <t xml:space="preserve">per article</t>
  </si>
  <si>
    <t xml:space="preserve">article</t>
  </si>
  <si>
    <t xml:space="preserve">Long-form article (~2,500 words)</t>
  </si>
  <si>
    <t xml:space="preserve">article_long</t>
  </si>
  <si>
    <t xml:space="preserve">Standard article (proposed WORKHORSE tier)</t>
  </si>
  <si>
    <t xml:space="preserve">article_std</t>
  </si>
  <si>
    <t xml:space="preserve">new</t>
  </si>
  <si>
    <t xml:space="preserve">Video script</t>
  </si>
  <si>
    <t xml:space="preserve">per script</t>
  </si>
  <si>
    <t xml:space="preserve">script</t>
  </si>
  <si>
    <t xml:space="preserve">Content ideas batch</t>
  </si>
  <si>
    <t xml:space="preserve">per batch</t>
  </si>
  <si>
    <t xml:space="preserve">ideas</t>
  </si>
  <si>
    <t xml:space="preserve">Multi-platform variants (5 platforms)</t>
  </si>
  <si>
    <t xml:space="preserve">social_multi</t>
  </si>
  <si>
    <t xml:space="preserve">Standard image</t>
  </si>
  <si>
    <t xml:space="preserve">per image</t>
  </si>
  <si>
    <t xml:space="preserve">img_std</t>
  </si>
  <si>
    <t xml:space="preserve">Premium image</t>
  </si>
  <si>
    <t xml:space="preserve">img_prem</t>
  </si>
  <si>
    <t xml:space="preserve">Image edit (up to 2 references)</t>
  </si>
  <si>
    <t xml:space="preserve">per edit</t>
  </si>
  <si>
    <t xml:space="preserve">img_edit</t>
  </si>
  <si>
    <t xml:space="preserve">Campaign plan</t>
  </si>
  <si>
    <t xml:space="preserve">per plan</t>
  </si>
  <si>
    <t xml:space="preserve">campaign</t>
  </si>
  <si>
    <t xml:space="preserve">Brand DNA re-scan (first scan per brand free)</t>
  </si>
  <si>
    <t xml:space="preserve">per scan</t>
  </si>
  <si>
    <t xml:space="preserve">brand_dna</t>
  </si>
  <si>
    <t xml:space="preserve">Brand voice re-analysis</t>
  </si>
  <si>
    <t xml:space="preserve">per run</t>
  </si>
  <si>
    <t xml:space="preserve">brand_writing</t>
  </si>
  <si>
    <t xml:space="preserve">File / image extraction</t>
  </si>
  <si>
    <t xml:space="preserve">per file</t>
  </si>
  <si>
    <t xml:space="preserve">file_extract</t>
  </si>
  <si>
    <t xml:space="preserve">Marketing Coach briefing (on demand)</t>
  </si>
  <si>
    <t xml:space="preserve">per briefing</t>
  </si>
  <si>
    <t xml:space="preserve">coach</t>
  </si>
  <si>
    <t xml:space="preserve">Deep strategy (Coach, high effort)</t>
  </si>
  <si>
    <t xml:space="preserve">coach_deep</t>
  </si>
  <si>
    <t xml:space="preserve">Market Brain manual refresh</t>
  </si>
  <si>
    <t xml:space="preserve">per refresh</t>
  </si>
  <si>
    <t xml:space="preserve">market_brain</t>
  </si>
  <si>
    <t xml:space="preserve">Competitor discovery</t>
  </si>
  <si>
    <t xml:space="preserve">comp_disc</t>
  </si>
  <si>
    <t xml:space="preserve">Competitor profile</t>
  </si>
  <si>
    <t xml:space="preserve">per competitor</t>
  </si>
  <si>
    <t xml:space="preserve">comp_profile</t>
  </si>
  <si>
    <t xml:space="preserve">Competitor intelligence report</t>
  </si>
  <si>
    <t xml:space="preserve">per report</t>
  </si>
  <si>
    <t xml:space="preserve">comp_intel</t>
  </si>
  <si>
    <t xml:space="preserve">Analytics insight refresh (on demand)</t>
  </si>
  <si>
    <t xml:space="preserve">insights</t>
  </si>
  <si>
    <t xml:space="preserve">Extra site scan</t>
  </si>
  <si>
    <t xml:space="preserve">per 100 pages</t>
  </si>
  <si>
    <t xml:space="preserve">site_scan</t>
  </si>
  <si>
    <t xml:space="preserve">Extra prompt check (3 engines)</t>
  </si>
  <si>
    <t xml:space="preserve">per prompt</t>
  </si>
  <si>
    <t xml:space="preserve">probe_set</t>
  </si>
  <si>
    <t xml:space="preserve">GEO fix proposal</t>
  </si>
  <si>
    <t xml:space="preserve">per finding</t>
  </si>
  <si>
    <t xml:space="preserve">geo_fix</t>
  </si>
  <si>
    <t xml:space="preserve">GEO CMS fix (WordPress / Webflow)</t>
  </si>
  <si>
    <t xml:space="preserve">per fix</t>
  </si>
  <si>
    <t xml:space="preserve">geo_cms</t>
  </si>
  <si>
    <t xml:space="preserve">GEO Engineer agent run (GitHub PR)</t>
  </si>
  <si>
    <t xml:space="preserve">geo_agent</t>
  </si>
  <si>
    <t xml:space="preserve">Proof Engine experiment</t>
  </si>
  <si>
    <t xml:space="preserve">per experiment</t>
  </si>
  <si>
    <t xml:space="preserve">experiment</t>
  </si>
  <si>
    <t xml:space="preserve">UGC concept pack (scripts and hooks)</t>
  </si>
  <si>
    <t xml:space="preserve">per product</t>
  </si>
  <si>
    <t xml:space="preserve">ugc_concepts</t>
  </si>
  <si>
    <t xml:space="preserve">Mellox Pro message (after the plan allowance)</t>
  </si>
  <si>
    <t xml:space="preserve">per message</t>
  </si>
  <si>
    <t xml:space="preserve">chat_pro</t>
  </si>
  <si>
    <t xml:space="preserve">Chat with Mellox Flash</t>
  </si>
  <si>
    <t xml:space="preserve">chat_flash</t>
  </si>
  <si>
    <t xml:space="preserve">Backlink research (10 sites)</t>
  </si>
  <si>
    <t xml:space="preserve">per search</t>
  </si>
  <si>
    <t xml:space="preserve">link_research</t>
  </si>
  <si>
    <t xml:space="preserve">Blended COGS per credit (weighted by expected use)</t>
  </si>
  <si>
    <t xml:space="preserve">Blended margin at face value</t>
  </si>
  <si>
    <t xml:space="preserve">Check: shares sum to</t>
  </si>
  <si>
    <t xml:space="preserve">Video Credits: a separate allowance so video can never drain the plan</t>
  </si>
  <si>
    <t xml:space="preserve">1 Video Credit (VC) = one 8-second Standard video. KIE runs Veo and Grok for now; OpenRouter runs the rest and is the fallback. Mode is on Inputs.</t>
  </si>
  <si>
    <t xml:space="preserve">Option (what the customer sees)</t>
  </si>
  <si>
    <t xml:space="preserve">UGC key</t>
  </si>
  <si>
    <t xml:space="preserve">Seconds</t>
  </si>
  <si>
    <t xml:space="preserve">Resolution</t>
  </si>
  <si>
    <t xml:space="preserve">OpenRouter model</t>
  </si>
  <si>
    <t xml:space="preserve">OpenRouter cost ($, incl. fee)</t>
  </si>
  <si>
    <t xml:space="preserve">KIE model</t>
  </si>
  <si>
    <t xml:space="preserve">KIE cost ($)</t>
  </si>
  <si>
    <t xml:space="preserve">Cost, active provider ($)</t>
  </si>
  <si>
    <t xml:space="preserve">Video credits charged</t>
  </si>
  <si>
    <t xml:space="preserve">Cost per VC ($)</t>
  </si>
  <si>
    <t xml:space="preserve">Expected share of VC use</t>
  </si>
  <si>
    <t xml:space="preserve">Plans that can use it</t>
  </si>
  <si>
    <t xml:space="preserve">Provider now (split mode)</t>
  </si>
  <si>
    <t xml:space="preserve">Draft (Veo 3.1 Lite) 720p</t>
  </si>
  <si>
    <t xml:space="preserve">draft</t>
  </si>
  <si>
    <t xml:space="preserve">720p</t>
  </si>
  <si>
    <t xml:space="preserve">google/veo-3.1-lite</t>
  </si>
  <si>
    <t xml:space="preserve">veo3_lite</t>
  </si>
  <si>
    <t xml:space="preserve">All paid plans</t>
  </si>
  <si>
    <t xml:space="preserve">kie</t>
  </si>
  <si>
    <t xml:space="preserve">Draft (Veo 3.1 Lite) 1080p</t>
  </si>
  <si>
    <t xml:space="preserve">1080p</t>
  </si>
  <si>
    <t xml:space="preserve">Growth+</t>
  </si>
  <si>
    <t xml:space="preserve">Standard (Veo 3.1 Fast) 720p</t>
  </si>
  <si>
    <t xml:space="preserve">standard</t>
  </si>
  <si>
    <t xml:space="preserve">google/veo-3.1-fast</t>
  </si>
  <si>
    <t xml:space="preserve">veo3_fast</t>
  </si>
  <si>
    <t xml:space="preserve">Standard (Veo 3.1 Fast) 1080p</t>
  </si>
  <si>
    <t xml:space="preserve">Premium (Hailuo 3 / Gemini Omni), 8s, 2 photos</t>
  </si>
  <si>
    <t xml:space="preserve">premium</t>
  </si>
  <si>
    <t xml:space="preserve">2K / 1080p</t>
  </si>
  <si>
    <t xml:space="preserve">minimax/hailuo-3</t>
  </si>
  <si>
    <t xml:space="preserve">gemini-omni-flash-1-1</t>
  </si>
  <si>
    <t xml:space="preserve">openrouter</t>
  </si>
  <si>
    <t xml:space="preserve">Premium, 10s, 2 photos</t>
  </si>
  <si>
    <t xml:space="preserve">Cinematic (Hailuo 3 / MiniMax H3), 10s</t>
  </si>
  <si>
    <t xml:space="preserve">cinematic</t>
  </si>
  <si>
    <t xml:space="preserve">2K</t>
  </si>
  <si>
    <t xml:space="preserve">minimax-h3</t>
  </si>
  <si>
    <t xml:space="preserve">Agency+</t>
  </si>
  <si>
    <t xml:space="preserve">Long take (Seedance 2.0 Fast), 12s 720p</t>
  </si>
  <si>
    <t xml:space="preserve">long</t>
  </si>
  <si>
    <t xml:space="preserve">bytedance/seedance-2.0-fast</t>
  </si>
  <si>
    <t xml:space="preserve">seedance-2-fast</t>
  </si>
  <si>
    <t xml:space="preserve">Long take, 15s 720p</t>
  </si>
  <si>
    <t xml:space="preserve">Long take, 15s 480p</t>
  </si>
  <si>
    <t xml:space="preserve">480p</t>
  </si>
  <si>
    <t xml:space="preserve">Variation (Grok Imagine on KIE), 6s 720p</t>
  </si>
  <si>
    <t xml:space="preserve">variation</t>
  </si>
  <si>
    <t xml:space="preserve">google/veo-3.1-lite (fallback)</t>
  </si>
  <si>
    <t xml:space="preserve">grok-imagine</t>
  </si>
  <si>
    <t xml:space="preserve">Variation, 6s 480p</t>
  </si>
  <si>
    <t xml:space="preserve">Studio video 6s (premium key)</t>
  </si>
  <si>
    <t xml:space="preserve">Blended cost per Video Credit (active mode)</t>
  </si>
  <si>
    <t xml:space="preserve">Same on OpenRouter</t>
  </si>
  <si>
    <t xml:space="preserve">Same on KIE</t>
  </si>
  <si>
    <t xml:space="preserve">Rules that keep video under control</t>
  </si>
  <si>
    <t xml:space="preserve">1. Video spends Video Credits only. General credits can never buy video, so a user cannot burn the whole plan on renders.</t>
  </si>
  <si>
    <t xml:space="preserve">2. Each plan includes a monthly VC allowance; unused VC do not roll over on monthly plans (1 month rollover on annual).</t>
  </si>
  <si>
    <t xml:space="preserve">3. Extra VC come from Video Packs (Add-ons &amp; Packs tab) at a 55-65% margin. Packs never expire.</t>
  </si>
  <si>
    <t xml:space="preserve">4. Hold VC when a render starts, capture on success, release on failure (the UGC reservation already works this way).</t>
  </si>
  <si>
    <t xml:space="preserve">5. Always show the VC price on the Generate button and route 'auto' to Standard unless the brief truly needs Premium.</t>
  </si>
  <si>
    <t xml:space="preserve">6. Keep UGC_MAX_CONCURRENT_RENDERS per plan: Starter 1, Growth 2, Agency 4, Scale 8.</t>
  </si>
  <si>
    <t xml:space="preserve">Add-ons, credit packs and video packs</t>
  </si>
  <si>
    <t xml:space="preserve">Expansion revenue. Every item clears its margin target on its own.</t>
  </si>
  <si>
    <t xml:space="preserve">Add-on (monthly)</t>
  </si>
  <si>
    <t xml:space="preserve">Price ($)</t>
  </si>
  <si>
    <t xml:space="preserve">What's inside</t>
  </si>
  <si>
    <t xml:space="preserve">Cost to serve ($)</t>
  </si>
  <si>
    <t xml:space="preserve">Extra brand (Growth, Agency, Scale)</t>
  </si>
  <si>
    <t xml:space="preserve">1 workspace, 30 prompts, 1,500 credits, 3 VC, weekly Market Brain, unlimited posts</t>
  </si>
  <si>
    <t xml:space="preserve">+100 tracked prompts, weekly</t>
  </si>
  <si>
    <t xml:space="preserve">100 prompts on the plan's engines</t>
  </si>
  <si>
    <t xml:space="preserve">Daily tracking, per 100 prompts</t>
  </si>
  <si>
    <t xml:space="preserve">Moves 100 prompts from weekly to daily</t>
  </si>
  <si>
    <t xml:space="preserve">7x the checks</t>
  </si>
  <si>
    <t xml:space="preserve">Google AI Overviews engine, per 100 prompts</t>
  </si>
  <si>
    <t xml:space="preserve">Real AI Overview capture via DataForSEO</t>
  </si>
  <si>
    <t xml:space="preserve">Closes the Google gap in the probe set</t>
  </si>
  <si>
    <t xml:space="preserve">Daily Market Brain, per brand</t>
  </si>
  <si>
    <t xml:space="preserve">Market Brain refresh every day instead of weekly</t>
  </si>
  <si>
    <t xml:space="preserve">Opus refresh costs $0.25</t>
  </si>
  <si>
    <t xml:space="preserve">+200 Mellox Pro messages</t>
  </si>
  <si>
    <t xml:space="preserve">Extra Claude Opus 5.5 chat</t>
  </si>
  <si>
    <t xml:space="preserve">Assumes 80% of a bought pack is used</t>
  </si>
  <si>
    <t xml:space="preserve">Extra seat (Starter, Growth)</t>
  </si>
  <si>
    <t xml:space="preserve">One more teammate</t>
  </si>
  <si>
    <t xml:space="preserve">White-label domain (Agency, Scale)</t>
  </si>
  <si>
    <t xml:space="preserve">Client portal on the agency's domain</t>
  </si>
  <si>
    <t xml:space="preserve">Credit pack (never expires)</t>
  </si>
  <si>
    <t xml:space="preserve">Bonus (AI only)</t>
  </si>
  <si>
    <t xml:space="preserve">Fees ($)</t>
  </si>
  <si>
    <t xml:space="preserve">COGS if fully used ($)</t>
  </si>
  <si>
    <t xml:space="preserve">$25 credit pack</t>
  </si>
  <si>
    <t xml:space="preserve">$100 credit pack</t>
  </si>
  <si>
    <t xml:space="preserve">$250 credit pack</t>
  </si>
  <si>
    <t xml:space="preserve">$500 credit pack</t>
  </si>
  <si>
    <t xml:space="preserve">Video pack (never expires)</t>
  </si>
  <si>
    <t xml:space="preserve">Price per VC ($)</t>
  </si>
  <si>
    <t xml:space="preserve">COGS, active provider ($)</t>
  </si>
  <si>
    <t xml:space="preserve">COGS on KIE ($)</t>
  </si>
  <si>
    <t xml:space="preserve">Margin if KIE</t>
  </si>
  <si>
    <t xml:space="preserve">10 video credits</t>
  </si>
  <si>
    <t xml:space="preserve">30 video credits</t>
  </si>
  <si>
    <t xml:space="preserve">100 video credits</t>
  </si>
  <si>
    <t xml:space="preserve">Average margin on packs (used for top-up revenue in the projection)</t>
  </si>
  <si>
    <t xml:space="preserve">Retention and growth: what keeps customers paying and upgrading</t>
  </si>
  <si>
    <t xml:space="preserve">Levers are built into the plans; the table below turns churn and CAC assumptions into LTV and payback.</t>
  </si>
  <si>
    <t xml:space="preserve">How it works</t>
  </si>
  <si>
    <t xml:space="preserve">Cost to Mellox</t>
  </si>
  <si>
    <t xml:space="preserve">Expected effect (assumption)</t>
  </si>
  <si>
    <t xml:space="preserve">Where it lives</t>
  </si>
  <si>
    <t xml:space="preserve">Weekly auto Coach briefing</t>
  </si>
  <si>
    <t xml:space="preserve">A Monday email and in-app briefing per brand: what changed, what to post, what to fix</t>
  </si>
  <si>
    <t xml:space="preserve">~$0.87 per brand per month</t>
  </si>
  <si>
    <t xml:space="preserve">Biggest habit driver; brings users back weekly</t>
  </si>
  <si>
    <t xml:space="preserve">Plans: coach_auto; coach.briefing</t>
  </si>
  <si>
    <t xml:space="preserve">Weekly AI-visibility report</t>
  </si>
  <si>
    <t xml:space="preserve">Email showing prompt wins/losses and competitor citations</t>
  </si>
  <si>
    <t xml:space="preserve">Included in prompt tracking</t>
  </si>
  <si>
    <t xml:space="preserve">Shows value even in quiet weeks</t>
  </si>
  <si>
    <t xml:space="preserve">geo scans + probes</t>
  </si>
  <si>
    <t xml:space="preserve">Separate video allowance</t>
  </si>
  <si>
    <t xml:space="preserve">Video never drains the credits people use for posts and articles</t>
  </si>
  <si>
    <t xml:space="preserve">None (protects margin)</t>
  </si>
  <si>
    <t xml:space="preserve">Fewer 'I ran out on day 3' cancellations</t>
  </si>
  <si>
    <t xml:space="preserve">Video Credits tab</t>
  </si>
  <si>
    <t xml:space="preserve">Rollover on annual plans</t>
  </si>
  <si>
    <t xml:space="preserve">Unused credits and VC roll over up to one month</t>
  </si>
  <si>
    <t xml:space="preserve">Small (less breakage)</t>
  </si>
  <si>
    <t xml:space="preserve">Pushes annual billing; lowers churn</t>
  </si>
  <si>
    <t xml:space="preserve">Credit ledger: expire job</t>
  </si>
  <si>
    <t xml:space="preserve">Pause instead of cancel</t>
  </si>
  <si>
    <t xml:space="preserve">$9/month keeps data, brands and 10 weekly prompts</t>
  </si>
  <si>
    <t xml:space="preserve">~$1 per month</t>
  </si>
  <si>
    <t xml:space="preserve">Saves an estimated 20-30% of would-be cancellations</t>
  </si>
  <si>
    <t xml:space="preserve">Billing flow</t>
  </si>
  <si>
    <t xml:space="preserve">80% usage nudges</t>
  </si>
  <si>
    <t xml:space="preserve">In-app + email at 80% of credits, VC or Pro messages with 1-click packs or upgrade</t>
  </si>
  <si>
    <t xml:space="preserve">None</t>
  </si>
  <si>
    <t xml:space="preserve">Converts heavy users to packs or the next plan</t>
  </si>
  <si>
    <t xml:space="preserve">budget.ts warn state</t>
  </si>
  <si>
    <t xml:space="preserve">Founding-customer offer</t>
  </si>
  <si>
    <t xml:space="preserve">First 50 paying customers: 30% off for 12 months, annual</t>
  </si>
  <si>
    <t xml:space="preserve">Discount only</t>
  </si>
  <si>
    <t xml:space="preserve">Early logos, case studies, cash upfront</t>
  </si>
  <si>
    <t xml:space="preserve">Paddle coupon</t>
  </si>
  <si>
    <t xml:space="preserve">Referral credits</t>
  </si>
  <si>
    <t xml:space="preserve">Both sides get 1,000 credits + 2 VC</t>
  </si>
  <si>
    <t xml:space="preserve">~$3.80 per referral</t>
  </si>
  <si>
    <t xml:space="preserve">Cheapest acquisition channel for SMBs</t>
  </si>
  <si>
    <t xml:space="preserve">Credit ledger: grant</t>
  </si>
  <si>
    <t xml:space="preserve">Agency partner program</t>
  </si>
  <si>
    <t xml:space="preserve">20% recurring commission for 12 months to agencies and consultants who resell</t>
  </si>
  <si>
    <t xml:space="preserve">20% of revenue</t>
  </si>
  <si>
    <t xml:space="preserve">Channel into the agency segment</t>
  </si>
  <si>
    <t xml:space="preserve">Paddle affiliates</t>
  </si>
  <si>
    <t xml:space="preserve">14-day Growth trial (card required)</t>
  </si>
  <si>
    <t xml:space="preserve">500 credits, 2 VC, 20 Pro messages, 3 brands</t>
  </si>
  <si>
    <t xml:space="preserve">Up to ~$5 per trial</t>
  </si>
  <si>
    <t xml:space="preserve">Higher conversion than an open free tier</t>
  </si>
  <si>
    <t xml:space="preserve">Plans + Paddle trial</t>
  </si>
  <si>
    <t xml:space="preserve">Free plan as a lead magnet</t>
  </si>
  <si>
    <t xml:space="preserve">5 prompts, 1 scan, 30 messages, 100 one-time credits</t>
  </si>
  <si>
    <t xml:space="preserve">~$0.95 / month + $0.34 onboarding</t>
  </si>
  <si>
    <t xml:space="preserve">Top of funnel; upgrade when competitors show up in answers</t>
  </si>
  <si>
    <t xml:space="preserve">Plans: Free</t>
  </si>
  <si>
    <t xml:space="preserve">Unit economics per customer</t>
  </si>
  <si>
    <t xml:space="preserve">Subscription revenue after annual discounts</t>
  </si>
  <si>
    <t xml:space="preserve">Expansion revenue (add-ons, packs) as % of subscription</t>
  </si>
  <si>
    <t xml:space="preserve">ARPA per month</t>
  </si>
  <si>
    <t xml:space="preserve">Cost to serve (typical) + fees</t>
  </si>
  <si>
    <t xml:space="preserve">Expansion revenue carries ~35% cost</t>
  </si>
  <si>
    <t xml:space="preserve">Contribution per month</t>
  </si>
  <si>
    <t xml:space="preserve">Monthly churn without the levers</t>
  </si>
  <si>
    <t xml:space="preserve">Churn reduction from the levers (points)</t>
  </si>
  <si>
    <t xml:space="preserve">Monthly churn with the levers</t>
  </si>
  <si>
    <t xml:space="preserve">Average lifetime without levers (months)</t>
  </si>
  <si>
    <t xml:space="preserve">Average lifetime with levers (months)</t>
  </si>
  <si>
    <t xml:space="preserve">Lifetime contribution (LTV) without levers</t>
  </si>
  <si>
    <t xml:space="preserve">Lifetime contribution (LTV) with levers</t>
  </si>
  <si>
    <t xml:space="preserve">Acquisition cost (CAC)</t>
  </si>
  <si>
    <t xml:space="preserve">Agency and Scale need founder-led sales</t>
  </si>
  <si>
    <t xml:space="preserve">CAC payback (months)</t>
  </si>
  <si>
    <t xml:space="preserve">LTV : CAC (with levers)</t>
  </si>
  <si>
    <t xml:space="preserve">Healthy SaaS is 3x or more</t>
  </si>
  <si>
    <t xml:space="preserve">Cost of every AI task on the new model stack (USD, expected case)</t>
  </si>
  <si>
    <t xml:space="preserve">Tier column uses PREMIUM / WORKHORSE / ECONOMY from Inputs, or a model key. Reasoning tokens come from the Inputs table unless overridden. Includes 3% fallback traffic and the 5.5% OpenRouter fee.</t>
  </si>
  <si>
    <t xml:space="preserve">ID</t>
  </si>
  <si>
    <t xml:space="preserve">Area</t>
  </si>
  <si>
    <t xml:space="preserve">Action</t>
  </si>
  <si>
    <t xml:space="preserve">Route label (task-models.ts)</t>
  </si>
  <si>
    <t xml:space="preserve">Tier / model</t>
  </si>
  <si>
    <t xml:space="preserve">Effort</t>
  </si>
  <si>
    <t xml:space="preserve">Input tokens / call</t>
  </si>
  <si>
    <t xml:space="preserve">Answer tokens / call</t>
  </si>
  <si>
    <t xml:space="preserve">Calls per action</t>
  </si>
  <si>
    <t xml:space="preserve">Cached input share</t>
  </si>
  <si>
    <t xml:space="preserve">Reasoning override</t>
  </si>
  <si>
    <t xml:space="preserve">Tavily credits</t>
  </si>
  <si>
    <t xml:space="preserve">Other cost key</t>
  </si>
  <si>
    <t xml:space="preserve">Other qty</t>
  </si>
  <si>
    <t xml:space="preserve">Fixed adder ($)</t>
  </si>
  <si>
    <t xml:space="preserve">Model resolved</t>
  </si>
  <si>
    <t xml:space="preserve">Reasoning tokens</t>
  </si>
  <si>
    <t xml:space="preserve">In $/1M</t>
  </si>
  <si>
    <t xml:space="preserve">Out $/1M</t>
  </si>
  <si>
    <t xml:space="preserve">Cache $/1M</t>
  </si>
  <si>
    <t xml:space="preserve">Token factor</t>
  </si>
  <si>
    <t xml:space="preserve">Primary LLM ($)</t>
  </si>
  <si>
    <t xml:space="preserve">Fallback model</t>
  </si>
  <si>
    <t xml:space="preserve">Fallback LLM ($)</t>
  </si>
  <si>
    <t xml:space="preserve">LLM blended ($)</t>
  </si>
  <si>
    <t xml:space="preserve">Search ($)</t>
  </si>
  <si>
    <t xml:space="preserve">Other ($)</t>
  </si>
  <si>
    <t xml:space="preserve">Expected COGS ($)</t>
  </si>
  <si>
    <t xml:space="preserve">Worst multiplier</t>
  </si>
  <si>
    <t xml:space="preserve">Worst COGS ($)</t>
  </si>
  <si>
    <t xml:space="preserve">Assumptions</t>
  </si>
  <si>
    <t xml:space="preserve">c_naturalize</t>
  </si>
  <si>
    <t xml:space="preserve">Component</t>
  </si>
  <si>
    <t xml:space="preserve">Caption naturalize pass</t>
  </si>
  <si>
    <t xml:space="preserve">studio.naturalize</t>
  </si>
  <si>
    <t xml:space="preserve">Runs on ~30% of caption jobs</t>
  </si>
  <si>
    <t xml:space="preserve">c_summary</t>
  </si>
  <si>
    <t xml:space="preserve">Chat history summary</t>
  </si>
  <si>
    <t xml:space="preserve">chat.history-summary</t>
  </si>
  <si>
    <t xml:space="preserve">Every 8 turns</t>
  </si>
  <si>
    <t xml:space="preserve">c_moderation</t>
  </si>
  <si>
    <t xml:space="preserve">Image moderation</t>
  </si>
  <si>
    <t xml:space="preserve">guardrails.image-moderation</t>
  </si>
  <si>
    <t xml:space="preserve">c_file_escal</t>
  </si>
  <si>
    <t xml:space="preserve">File extract escalation</t>
  </si>
  <si>
    <t xml:space="preserve">file-extract (escalated)</t>
  </si>
  <si>
    <t xml:space="preserve">~20% of reads are thin and escalate</t>
  </si>
  <si>
    <t xml:space="preserve">c_coach_research</t>
  </si>
  <si>
    <t xml:space="preserve">Coach research synthesis</t>
  </si>
  <si>
    <t xml:space="preserve">coach.research</t>
  </si>
  <si>
    <t xml:space="preserve">c_cms_retry</t>
  </si>
  <si>
    <t xml:space="preserve">GEO CMS fix retry on PREMIUM</t>
  </si>
  <si>
    <t xml:space="preserve">geo.cms.fix (retry)</t>
  </si>
  <si>
    <t xml:space="preserve">~20% rejected by validation/grounding</t>
  </si>
  <si>
    <t xml:space="preserve">c_exp_values</t>
  </si>
  <si>
    <t xml:space="preserve">Experiment values</t>
  </si>
  <si>
    <t xml:space="preserve">experiments.values</t>
  </si>
  <si>
    <t xml:space="preserve">c_exp_analysis</t>
  </si>
  <si>
    <t xml:space="preserve">Experiment analysis/report</t>
  </si>
  <si>
    <t xml:space="preserve">experiments.*</t>
  </si>
  <si>
    <t xml:space="preserve">c_link_pick</t>
  </si>
  <si>
    <t xml:space="preserve">Link relevance pick</t>
  </si>
  <si>
    <t xml:space="preserve">links-relevance-pick</t>
  </si>
  <si>
    <t xml:space="preserve">c_ugc_extract</t>
  </si>
  <si>
    <t xml:space="preserve">UGC product extract</t>
  </si>
  <si>
    <t xml:space="preserve">ugc.product.extract</t>
  </si>
  <si>
    <t xml:space="preserve">c_ugc_notes</t>
  </si>
  <si>
    <t xml:space="preserve">UGC notes</t>
  </si>
  <si>
    <t xml:space="preserve">ugc.notes</t>
  </si>
  <si>
    <t xml:space="preserve">Image</t>
  </si>
  <si>
    <t xml:space="preserve">Standard image (GPT Image 2.5 Flare)</t>
  </si>
  <si>
    <t xml:space="preserve">/api/generate-image, Studio</t>
  </si>
  <si>
    <t xml:space="preserve">img-flare</t>
  </si>
  <si>
    <t xml:space="preserve">Incl. re-rolls and moderation</t>
  </si>
  <si>
    <t xml:space="preserve">Premium image (GPT Image 2.5 Sunburst)</t>
  </si>
  <si>
    <t xml:space="preserve">/api/generate-image</t>
  </si>
  <si>
    <t xml:space="preserve">img-sunburst</t>
  </si>
  <si>
    <t xml:space="preserve">Image edit with 2 references (Flare)</t>
  </si>
  <si>
    <t xml:space="preserve">/api/generate-image (edit)</t>
  </si>
  <si>
    <t xml:space="preserve">Assistant</t>
  </si>
  <si>
    <t xml:space="preserve">Chat message: Mellox Flash (default)</t>
  </si>
  <si>
    <t xml:space="preserve">chat (mellox-flash)</t>
  </si>
  <si>
    <t xml:space="preserve">15% of turns trigger web research</t>
  </si>
  <si>
    <t xml:space="preserve">Chat message: Mellox Pro</t>
  </si>
  <si>
    <t xml:space="preserve">chat (mellox-pro)</t>
  </si>
  <si>
    <t xml:space="preserve">Escalates to medium effort on strategy turns (worst case)</t>
  </si>
  <si>
    <t xml:space="preserve">clarify</t>
  </si>
  <si>
    <t xml:space="preserve">Clarify / intent tool call</t>
  </si>
  <si>
    <t xml:space="preserve">memory_extract</t>
  </si>
  <si>
    <t xml:space="preserve">Memory extraction</t>
  </si>
  <si>
    <t xml:space="preserve">memory-extract</t>
  </si>
  <si>
    <t xml:space="preserve">file-extract</t>
  </si>
  <si>
    <t xml:space="preserve">Onboarding</t>
  </si>
  <si>
    <t xml:space="preserve">brand-extract (+ .search)</t>
  </si>
  <si>
    <t xml:space="preserve">maxTokens 12,000 covers reasoning + JSON</t>
  </si>
  <si>
    <t xml:space="preserve">Brand voice analysis</t>
  </si>
  <si>
    <t xml:space="preserve">brand-kit/analyze-writing</t>
  </si>
  <si>
    <t xml:space="preserve">brand_visual</t>
  </si>
  <si>
    <t xml:space="preserve">Brand visual analysis</t>
  </si>
  <si>
    <t xml:space="preserve">brand-kit/analyze-visual, describe</t>
  </si>
  <si>
    <t xml:space="preserve">studio.social / content.*</t>
  </si>
  <si>
    <t xml:space="preserve">Image post (copy + 1 image)</t>
  </si>
  <si>
    <t xml:space="preserve">studio.image.brief + studio.captions</t>
  </si>
  <si>
    <t xml:space="preserve">Carousel (copy + cover image)</t>
  </si>
  <si>
    <t xml:space="preserve">studio.carousel</t>
  </si>
  <si>
    <t xml:space="preserve">Ad set (copy variants + image)</t>
  </si>
  <si>
    <t xml:space="preserve">studio.ad</t>
  </si>
  <si>
    <t xml:space="preserve">studio.article</t>
  </si>
  <si>
    <t xml:space="preserve">Standard article on WORKHORSE (suggested option)</t>
  </si>
  <si>
    <t xml:space="preserve">studio.article.standard (proposed)</t>
  </si>
  <si>
    <t xml:space="preserve">Not in the spec: a cheaper tier for everyday blog posts</t>
  </si>
  <si>
    <t xml:space="preserve">studio.script</t>
  </si>
  <si>
    <t xml:space="preserve">studio.ideas</t>
  </si>
  <si>
    <t xml:space="preserve">social.multi</t>
  </si>
  <si>
    <t xml:space="preserve">campaign-generation</t>
  </si>
  <si>
    <t xml:space="preserve">Research</t>
  </si>
  <si>
    <t xml:space="preserve">Marketing Coach briefing</t>
  </si>
  <si>
    <t xml:space="preserve">coach.briefing (+ coach.research)</t>
  </si>
  <si>
    <t xml:space="preserve">coach (escalated)</t>
  </si>
  <si>
    <t xml:space="preserve">Market Brain refresh</t>
  </si>
  <si>
    <t xml:space="preserve">market-intelligence</t>
  </si>
  <si>
    <t xml:space="preserve">Source-content cache avoids re-billing identical evidence</t>
  </si>
  <si>
    <t xml:space="preserve">competitors.discovery</t>
  </si>
  <si>
    <t xml:space="preserve">competitors.profile</t>
  </si>
  <si>
    <t xml:space="preserve">comp_sweep</t>
  </si>
  <si>
    <t xml:space="preserve">Competitor update sweep (1 competitor)</t>
  </si>
  <si>
    <t xml:space="preserve">competitors.updates</t>
  </si>
  <si>
    <t xml:space="preserve">Model runs only when something new appears</t>
  </si>
  <si>
    <t xml:space="preserve">competitor-intel</t>
  </si>
  <si>
    <t xml:space="preserve">Analytics insight refresh</t>
  </si>
  <si>
    <t xml:space="preserve">analytics/insights</t>
  </si>
  <si>
    <t xml:space="preserve">Site scan, per 100 pages</t>
  </si>
  <si>
    <t xml:space="preserve">geo scan-runner + citation probes</t>
  </si>
  <si>
    <t xml:space="preserve">compute-per-page</t>
  </si>
  <si>
    <t xml:space="preserve">probe_pplx</t>
  </si>
  <si>
    <t xml:space="preserve">Prompt check: Perplexity (Sonar)</t>
  </si>
  <si>
    <t xml:space="preserve">geo.probe</t>
  </si>
  <si>
    <t xml:space="preserve">perplexity/sonar</t>
  </si>
  <si>
    <t xml:space="preserve">sonar-request-low</t>
  </si>
  <si>
    <t xml:space="preserve">probe_luna</t>
  </si>
  <si>
    <t xml:space="preserve">Prompt check: 'ChatGPT' (GPT-5.6 Luna, no search)</t>
  </si>
  <si>
    <t xml:space="preserve">probe_gemini</t>
  </si>
  <si>
    <t xml:space="preserve">Prompt check: Gemini (3.8 Flash, no search)</t>
  </si>
  <si>
    <t xml:space="preserve">One tracked prompt across the 3 spec engines</t>
  </si>
  <si>
    <t xml:space="preserve">geo.probe x3</t>
  </si>
  <si>
    <t xml:space="preserve">probe_chatgpt_real</t>
  </si>
  <si>
    <t xml:space="preserve">Option: real ChatGPT answer (DataForSEO + parse)</t>
  </si>
  <si>
    <t xml:space="preserve">proposed</t>
  </si>
  <si>
    <t xml:space="preserve">dfs-llm-scraper-std</t>
  </si>
  <si>
    <t xml:space="preserve">probe_aio_real</t>
  </si>
  <si>
    <t xml:space="preserve">Option: Google AI Overview (DataForSEO SERP + parse)</t>
  </si>
  <si>
    <t xml:space="preserve">dfs-serp-std</t>
  </si>
  <si>
    <t xml:space="preserve">geo.fix.propose / geo.fix.batch</t>
  </si>
  <si>
    <t xml:space="preserve">geo.cms.fix</t>
  </si>
  <si>
    <t xml:space="preserve">GEO coding agent (PREMIUM high)</t>
  </si>
  <si>
    <t xml:space="preserve">Expected ~$1.60 on Opus 5.5 high; raise GEO_AGENT_MAX_COST_USD to $3.00</t>
  </si>
  <si>
    <t xml:space="preserve">experiments.hypotheses + values + analysis</t>
  </si>
  <si>
    <t xml:space="preserve">UGC Ads</t>
  </si>
  <si>
    <t xml:space="preserve">UGC concept pack (extract + concepts + notes)</t>
  </si>
  <si>
    <t xml:space="preserve">ugc.concepts (+ extract, notes)</t>
  </si>
  <si>
    <t xml:space="preserve">Backlinks</t>
  </si>
  <si>
    <t xml:space="preserve">Link research (10 candidate sites)</t>
  </si>
  <si>
    <t xml:space="preserve">links-topical-fit x10 + relevance pick</t>
  </si>
  <si>
    <t xml:space="preserve">social_post</t>
  </si>
  <si>
    <t xml:space="preserve">Social publishing: 1 post on 1 network</t>
  </si>
  <si>
    <t xml:space="preserve">Post for Me</t>
  </si>
  <si>
    <t xml:space="preserve">background</t>
  </si>
  <si>
    <t xml:space="preserve">Platform</t>
  </si>
  <si>
    <t xml:space="preserve">Background jobs + storage per brand / month</t>
  </si>
  <si>
    <t xml:space="preserve">cron, agents, storage</t>
  </si>
  <si>
    <t xml:space="preserve">Model routing by task (from your OpenRouter migration spec)</t>
  </si>
  <si>
    <t xml:space="preserve">Model column resolves from the tier cells on Inputs, so a tier swap updates everything.</t>
  </si>
  <si>
    <t xml:space="preserve">Route label(s)</t>
  </si>
  <si>
    <t xml:space="preserve">Model (resolved)</t>
  </si>
  <si>
    <t xml:space="preserve">Fallback</t>
  </si>
  <si>
    <t xml:space="preserve">Rule / escalation</t>
  </si>
  <si>
    <t xml:space="preserve">Modeled cost per action ($)</t>
  </si>
  <si>
    <t xml:space="preserve">brand-extract</t>
  </si>
  <si>
    <t xml:space="preserve">Runs once per brand; maxTokens 12,000</t>
  </si>
  <si>
    <t xml:space="preserve">brand-extract.search</t>
  </si>
  <si>
    <t xml:space="preserve">Vision</t>
  </si>
  <si>
    <t xml:space="preserve">Voice profile feeds every caption</t>
  </si>
  <si>
    <t xml:space="preserve">Escalate to WORKHORSE when first read is thin</t>
  </si>
  <si>
    <t xml:space="preserve">chat (mellox-flash, default)</t>
  </si>
  <si>
    <t xml:space="preserve">Escalate to medium on strategy turns</t>
  </si>
  <si>
    <t xml:space="preserve">chat.research</t>
  </si>
  <si>
    <t xml:space="preserve">tool_choice auto only</t>
  </si>
  <si>
    <t xml:space="preserve">content.*, social.multi</t>
  </si>
  <si>
    <t xml:space="preserve">ai-generate.*</t>
  </si>
  <si>
    <t xml:space="preserve">Escalate to PREMIUM for &gt;1,500 words</t>
  </si>
  <si>
    <t xml:space="preserve">Articles go live; grounding/GEO gate</t>
  </si>
  <si>
    <t xml:space="preserve">temperature ~0.9</t>
  </si>
  <si>
    <t xml:space="preserve">studio.prompt, studio.research</t>
  </si>
  <si>
    <t xml:space="preserve">low / medium</t>
  </si>
  <si>
    <t xml:space="preserve">schedule.*</t>
  </si>
  <si>
    <t xml:space="preserve">coach, coach.briefing</t>
  </si>
  <si>
    <t xml:space="preserve">High effort for deep strategy</t>
  </si>
  <si>
    <t xml:space="preserve">coach.research, coach.trends</t>
  </si>
  <si>
    <t xml:space="preserve">Keep the source-content cache</t>
  </si>
  <si>
    <t xml:space="preserve">agent.content-fit, analytics/insights-auto</t>
  </si>
  <si>
    <t xml:space="preserve">competitors.discovery, competitors.profile</t>
  </si>
  <si>
    <t xml:space="preserve">Grounded classification only</t>
  </si>
  <si>
    <t xml:space="preserve">High volume</t>
  </si>
  <si>
    <t xml:space="preserve">perplexity/sonar + openai/gpt-5.6-luna + google/gemini-3.8-flash</t>
  </si>
  <si>
    <t xml:space="preserve">default</t>
  </si>
  <si>
    <t xml:space="preserve">Each engine probed separately</t>
  </si>
  <si>
    <t xml:space="preserve">geo.fix.propose, geo.fix.batch</t>
  </si>
  <si>
    <t xml:space="preserve">Retry once on PREMIUM when rejected</t>
  </si>
  <si>
    <t xml:space="preserve">GEO coding agent</t>
  </si>
  <si>
    <t xml:space="preserve">high / medium</t>
  </si>
  <si>
    <t xml:space="preserve">Investigate + implement high; self-review medium</t>
  </si>
  <si>
    <t xml:space="preserve">experiments.hypotheses</t>
  </si>
  <si>
    <t xml:space="preserve">links-topical-fit</t>
  </si>
  <si>
    <t xml:space="preserve">Many calls</t>
  </si>
  <si>
    <t xml:space="preserve">ugc.product.extract / ugc.concepts / ugc.notes</t>
  </si>
  <si>
    <t xml:space="preserve">low / medium / low</t>
  </si>
  <si>
    <t xml:space="preserve">Images: default / premium</t>
  </si>
  <si>
    <t xml:space="preserve">openai/gpt-image-2.5-flare / sunburst</t>
  </si>
  <si>
    <t xml:space="preserve">Each falls back to the other</t>
  </si>
  <si>
    <t xml:space="preserve">Video: standard, draft, variation</t>
  </si>
  <si>
    <t xml:space="preserve">KIE (Veo 3.1 Fast / Lite, Grok Imagine)</t>
  </si>
  <si>
    <t xml:space="preserve">Fallback to OpenRouter Veo (variation falls back to Veo 3.1 Lite, never Grok on OpenRouter)</t>
  </si>
  <si>
    <t xml:space="preserve">Video: premium, cinematic, long take, Studio 6s</t>
  </si>
  <si>
    <t xml:space="preserve">OpenRouter (Hailuo 3, Seedance 2.0 Fast)</t>
  </si>
  <si>
    <t xml:space="preserve">KIE prices for Gemini Omni / MiniMax H3 are unverified and Seedance is cheaper on OpenRouter</t>
  </si>
  <si>
    <t xml:space="preserve">Vendor price book for the OpenRouter-first stack (checked 2026-09-25)</t>
  </si>
  <si>
    <t xml:space="preserve">Blue = input. OR fee = 1 when the item is bought through OpenRouter credits (5.5% top-up fee applies). Kie rows: edit credits in column F.</t>
  </si>
  <si>
    <t xml:space="preserve">Key</t>
  </si>
  <si>
    <t xml:space="preserve">Category</t>
  </si>
  <si>
    <t xml:space="preserve">Vendor</t>
  </si>
  <si>
    <t xml:space="preserve">Item / where used</t>
  </si>
  <si>
    <t xml:space="preserve">Native qty</t>
  </si>
  <si>
    <t xml:space="preserve">USD price (in / per unit)</t>
  </si>
  <si>
    <t xml:space="preserve">USD price (out)</t>
  </si>
  <si>
    <t xml:space="preserve">Cache read ($/1M)</t>
  </si>
  <si>
    <t xml:space="preserve">OR fee</t>
  </si>
  <si>
    <t xml:space="preserve">Status / notes</t>
  </si>
  <si>
    <t xml:space="preserve">Source</t>
  </si>
  <si>
    <t xml:space="preserve">LLM</t>
  </si>
  <si>
    <t xml:space="preserve">OpenRouter (Anthropic)</t>
  </si>
  <si>
    <t xml:space="preserve">PREMIUM tier: Brand DNA, articles, Coach, Market Brain, GEO fixes, GEO agent, campaigns, Mellox Pro chat</t>
  </si>
  <si>
    <t xml:space="preserve">$ / 1M tokens</t>
  </si>
  <si>
    <t xml:space="preserve">Released 2026-09-22. Thinking cannot be disabled. Opus-family tokenizer ~1.0-1.35x.</t>
  </si>
  <si>
    <t xml:space="preserve">https://openrouter.ai/anthropic/claude-opus-5.5</t>
  </si>
  <si>
    <t xml:space="preserve">OpenRouter (Google)</t>
  </si>
  <si>
    <t xml:space="preserve">WORKHORSE tier: chat (Flash), Studio posts, vision, research, competitors, UGC scripts; GEO probe engine</t>
  </si>
  <si>
    <t xml:space="preserve">Reasoning model: always send an effort. Cache read assumed 25% of input (verify).</t>
  </si>
  <si>
    <t xml:space="preserve">https://openrouter.ai/google/gemini-3.8-flash</t>
  </si>
  <si>
    <t xml:space="preserve">ECONOMY tier: history summaries, file extract, competitor sweeps, link fit, moderation</t>
  </si>
  <si>
    <t xml:space="preserve">GA</t>
  </si>
  <si>
    <t xml:space="preserve">https://openrouter.ai/google/gemini-3.1-flash-lite</t>
  </si>
  <si>
    <t xml:space="preserve">OpenRouter (OpenAI)</t>
  </si>
  <si>
    <t xml:space="preserve">2.7x input / 3.2x output of Gemini 3.8 Flash</t>
  </si>
  <si>
    <t xml:space="preserve">https://openrouter.ai/openai/gpt-5.6-terra</t>
  </si>
  <si>
    <t xml:space="preserve">ECONOMY fallback; GEO probe engine ('ChatGPT')</t>
  </si>
  <si>
    <t xml:space="preserve">No web search unless a search plugin is added</t>
  </si>
  <si>
    <t xml:space="preserve">https://openrouter.ai/openai/gpt-5.6-luna</t>
  </si>
  <si>
    <t xml:space="preserve">OpenRouter (Perplexity)</t>
  </si>
  <si>
    <t xml:space="preserve">GEO probe engine (Perplexity)</t>
  </si>
  <si>
    <t xml:space="preserve">Plus per-request fee below</t>
  </si>
  <si>
    <t xml:space="preserve">https://openrouter.ai/perplexity/sonar</t>
  </si>
  <si>
    <t xml:space="preserve">Search</t>
  </si>
  <si>
    <t xml:space="preserve">Perplexity via OpenRouter</t>
  </si>
  <si>
    <t xml:space="preserve">Sonar request fee, low search context</t>
  </si>
  <si>
    <t xml:space="preserve">$ / request</t>
  </si>
  <si>
    <t xml:space="preserve">$5 per 1,000 requests</t>
  </si>
  <si>
    <t xml:space="preserve">https://docs.perplexity.ai/docs/getting-started/pricing</t>
  </si>
  <si>
    <t xml:space="preserve">OpenRouter (OpenAI GPT Image 2.5 Flare)</t>
  </si>
  <si>
    <t xml:space="preserve">Default social image / quick edit; native qty = output tokens per image</t>
  </si>
  <si>
    <t xml:space="preserve">$ / image</t>
  </si>
  <si>
    <t xml:space="preserve">$8/M input, $30/M output. 1024px medium ~440 tokens; social 4:5 / 9:16 ~600 (estimate).</t>
  </si>
  <si>
    <t xml:space="preserve">https://openrouter.ai/openai/gpt-image-2.5-flare</t>
  </si>
  <si>
    <t xml:space="preserve">OpenRouter (OpenAI GPT Image 2.5 Sunburst)</t>
  </si>
  <si>
    <t xml:space="preserve">Premium / text-heavy / precise edit; native qty = output tokens per image</t>
  </si>
  <si>
    <t xml:space="preserve">High quality 1024px ~1,756 output tokens</t>
  </si>
  <si>
    <t xml:space="preserve">https://openrouter.ai/openai/gpt-image-2.5-sunburst</t>
  </si>
  <si>
    <t xml:space="preserve">img-ref</t>
  </si>
  <si>
    <t xml:space="preserve">OpenRouter (OpenAI GPT Image 2.5)</t>
  </si>
  <si>
    <t xml:space="preserve">Reference image input for edits (per image); native qty = input tokens</t>
  </si>
  <si>
    <t xml:space="preserve">$ / reference</t>
  </si>
  <si>
    <t xml:space="preserve">Up to 4 references per edit</t>
  </si>
  <si>
    <t xml:space="preserve">or-veo31fast-720</t>
  </si>
  <si>
    <t xml:space="preserve">Video</t>
  </si>
  <si>
    <t xml:space="preserve">OpenRouter (Google Veo 3.1 Fast)</t>
  </si>
  <si>
    <t xml:space="preserve">standard key, 720p with audio</t>
  </si>
  <si>
    <t xml:space="preserve">$ / second</t>
  </si>
  <si>
    <t xml:space="preserve">4/6/8 s</t>
  </si>
  <si>
    <t xml:space="preserve">https://openrouter.ai/api/v1/videos/models</t>
  </si>
  <si>
    <t xml:space="preserve">or-veo31fast-1080</t>
  </si>
  <si>
    <t xml:space="preserve">standard key, 1080p with audio</t>
  </si>
  <si>
    <t xml:space="preserve">4K = $0.30/s</t>
  </si>
  <si>
    <t xml:space="preserve">or-veo31lite-720</t>
  </si>
  <si>
    <t xml:space="preserve">OpenRouter (Google Veo 3.1 Lite)</t>
  </si>
  <si>
    <t xml:space="preserve">draft key, 720p with audio</t>
  </si>
  <si>
    <t xml:space="preserve">or-veo31lite-1080</t>
  </si>
  <si>
    <t xml:space="preserve">draft key, 1080p with audio</t>
  </si>
  <si>
    <t xml:space="preserve">or-hailuo3-s</t>
  </si>
  <si>
    <t xml:space="preserve">OpenRouter (MiniMax Hailuo 3)</t>
  </si>
  <si>
    <t xml:space="preserve">premium + cinematic keys, 2K with audio</t>
  </si>
  <si>
    <t xml:space="preserve">5-15 s</t>
  </si>
  <si>
    <t xml:space="preserve">or-hailuo3-ref</t>
  </si>
  <si>
    <t xml:space="preserve">Reference image</t>
  </si>
  <si>
    <t xml:space="preserve">or-seedance2fast-480-s</t>
  </si>
  <si>
    <t xml:space="preserve">OpenRouter (Seedance 2.0 Fast)</t>
  </si>
  <si>
    <t xml:space="preserve">long key, 480p (854x480x24 fps video tokens)</t>
  </si>
  <si>
    <t xml:space="preserve">$0.0000042 per video token</t>
  </si>
  <si>
    <t xml:space="preserve">or-seedance2fast-720-s</t>
  </si>
  <si>
    <t xml:space="preserve">long key, 720p</t>
  </si>
  <si>
    <t xml:space="preserve">4-15 s</t>
  </si>
  <si>
    <t xml:space="preserve">or-grok15-480-s</t>
  </si>
  <si>
    <t xml:space="preserve">OpenRouter (Grok Imagine Video 1.5)</t>
  </si>
  <si>
    <t xml:space="preserve">variation key, 480p</t>
  </si>
  <si>
    <t xml:space="preserve">+$0.01 per input image</t>
  </si>
  <si>
    <t xml:space="preserve">or-grok15-720-s</t>
  </si>
  <si>
    <t xml:space="preserve">variation key, 720p</t>
  </si>
  <si>
    <t xml:space="preserve">1080p $0.25/s</t>
  </si>
  <si>
    <t xml:space="preserve">or-grok15-img</t>
  </si>
  <si>
    <t xml:space="preserve">Input image</t>
  </si>
  <si>
    <t xml:space="preserve">kie-credit</t>
  </si>
  <si>
    <t xml:space="preserve">Kie.ai</t>
  </si>
  <si>
    <t xml:space="preserve">Kie credit</t>
  </si>
  <si>
    <t xml:space="preserve">$ / credit</t>
  </si>
  <si>
    <t xml:space="preserve">Kept for Veo 3.1 Fast/Lite and Grok Imagine; OpenRouter for the rest</t>
  </si>
  <si>
    <t xml:space="preserve">https://www.bitdoze.com/kie-ai-video-generation/</t>
  </si>
  <si>
    <t xml:space="preserve">kie-veo-fast-720</t>
  </si>
  <si>
    <t xml:space="preserve">Veo 3.1 Fast 8s 720p (per video)</t>
  </si>
  <si>
    <t xml:space="preserve">Kie credits</t>
  </si>
  <si>
    <t xml:space="preserve">src/lib/ugc/models.ts, confirmed 2026-09-16</t>
  </si>
  <si>
    <t xml:space="preserve">src/lib/ugc/models.ts</t>
  </si>
  <si>
    <t xml:space="preserve">kie-veo-fast-1080</t>
  </si>
  <si>
    <t xml:space="preserve">Veo 3.1 Fast 8s 1080p (per video)</t>
  </si>
  <si>
    <t xml:space="preserve">kie-veo-lite-720</t>
  </si>
  <si>
    <t xml:space="preserve">Veo 3.1 Lite 8s 720p (per video)</t>
  </si>
  <si>
    <t xml:space="preserve">kie-veo-lite-1080</t>
  </si>
  <si>
    <t xml:space="preserve">Veo 3.1 Lite 8s 1080p (per video)</t>
  </si>
  <si>
    <t xml:space="preserve">kie-seedance2fast-480-s</t>
  </si>
  <si>
    <t xml:space="preserve">Seedance 2.0 Fast 480p (per second)</t>
  </si>
  <si>
    <t xml:space="preserve">kie-seedance2fast-720-s</t>
  </si>
  <si>
    <t xml:space="preserve">Seedance 2.0 Fast 720p (per second)</t>
  </si>
  <si>
    <t xml:space="preserve">kie-grok-480</t>
  </si>
  <si>
    <t xml:space="preserve">Grok Imagine 480p (per video)</t>
  </si>
  <si>
    <t xml:space="preserve">kie-grok-720</t>
  </si>
  <si>
    <t xml:space="preserve">Grok Imagine 720p (per video)</t>
  </si>
  <si>
    <t xml:space="preserve">kie-omni-1080-s</t>
  </si>
  <si>
    <t xml:space="preserve">Gemini Omni Flash 1.1 1080p (per second)</t>
  </si>
  <si>
    <t xml:space="preserve">ESTIMATE - VERIFY on Kie pricing page (Google direct ~$0.15/s)</t>
  </si>
  <si>
    <t xml:space="preserve">kie-h3-s</t>
  </si>
  <si>
    <t xml:space="preserve">MiniMax H3 (per second)</t>
  </si>
  <si>
    <t xml:space="preserve">ESTIMATE - VERIFY (Kie blog: H3 Max $0.05/s)</t>
  </si>
  <si>
    <t xml:space="preserve">https://kie.ai/blog/what-is-minimax-h3-max</t>
  </si>
  <si>
    <t xml:space="preserve">tavily-credit</t>
  </si>
  <si>
    <t xml:space="preserve">Tavily</t>
  </si>
  <si>
    <t xml:space="preserve">API credit (basic search 1)</t>
  </si>
  <si>
    <t xml:space="preserve">1,000 free credits/month</t>
  </si>
  <si>
    <t xml:space="preserve">https://www.tavily.com/pricing</t>
  </si>
  <si>
    <t xml:space="preserve">exa-search</t>
  </si>
  <si>
    <t xml:space="preserve">OpenRouter (Exa)</t>
  </si>
  <si>
    <t xml:space="preserve">Web search plugin request (adds search to Luna / Gemini probes)</t>
  </si>
  <si>
    <t xml:space="preserve">https://openrouter.ai/docs/guides/features/plugins/web-search</t>
  </si>
  <si>
    <t xml:space="preserve">GEO data</t>
  </si>
  <si>
    <t xml:space="preserve">DataForSEO</t>
  </si>
  <si>
    <t xml:space="preserve">Real ChatGPT / Gemini answer (LLM Scraper, standard queue)</t>
  </si>
  <si>
    <t xml:space="preserve">$ / result</t>
  </si>
  <si>
    <t xml:space="preserve">Optional real-answer tracking</t>
  </si>
  <si>
    <t xml:space="preserve">https://dataforseo.com/pricing/ai-optimization/llm-scraper</t>
  </si>
  <si>
    <t xml:space="preserve">Google SERP incl. AI Overview (standard queue)</t>
  </si>
  <si>
    <t xml:space="preserve">$ / SERP</t>
  </si>
  <si>
    <t xml:space="preserve">Google AI Overviews are not covered by the spec's probe engines</t>
  </si>
  <si>
    <t xml:space="preserve">https://dataforseo.com/pricing/serp/google-organic-serp-api</t>
  </si>
  <si>
    <t xml:space="preserve">postforme-starter</t>
  </si>
  <si>
    <t xml:space="preserve">Starter plan (1,000 posts / month, unlimited accounts)</t>
  </si>
  <si>
    <t xml:space="preserve">Billed by monthly post volume; one post assumed per network published. Higher tiers are by volume and not published: assumed the same $0.01 a post (verify)</t>
  </si>
  <si>
    <t xml:space="preserve">https://www.postforme.dev/pricing</t>
  </si>
  <si>
    <t xml:space="preserve">rixot-link</t>
  </si>
  <si>
    <t xml:space="preserve">Rixot</t>
  </si>
  <si>
    <t xml:space="preserve">Backlink placement, typical mid-range</t>
  </si>
  <si>
    <t xml:space="preserve">$ / link</t>
  </si>
  <si>
    <t xml:space="preserve">$1-$500 by DR</t>
  </si>
  <si>
    <t xml:space="preserve">https://rixot.com/pricing</t>
  </si>
  <si>
    <t xml:space="preserve">supabase-pro</t>
  </si>
  <si>
    <t xml:space="preserve">Infra</t>
  </si>
  <si>
    <t xml:space="preserve">Supabase</t>
  </si>
  <si>
    <t xml:space="preserve">Pro plan</t>
  </si>
  <si>
    <t xml:space="preserve">https://supabase.com/pricing</t>
  </si>
  <si>
    <t xml:space="preserve">supabase-small</t>
  </si>
  <si>
    <t xml:space="preserve">Compute Small</t>
  </si>
  <si>
    <t xml:space="preserve">supabase-medium</t>
  </si>
  <si>
    <t xml:space="preserve">Compute Medium</t>
  </si>
  <si>
    <t xml:space="preserve">supabase-large</t>
  </si>
  <si>
    <t xml:space="preserve">Compute Large</t>
  </si>
  <si>
    <t xml:space="preserve">Mellox on Railway</t>
  </si>
  <si>
    <t xml:space="preserve">GEO crawl compute per page (estimate)</t>
  </si>
  <si>
    <t xml:space="preserve">$ / page</t>
  </si>
  <si>
    <t xml:space="preserve">Internal estimate</t>
  </si>
  <si>
    <t xml:space="preserve">sentry-team</t>
  </si>
  <si>
    <t xml:space="preserve">Tools</t>
  </si>
  <si>
    <t xml:space="preserve">Sentry</t>
  </si>
  <si>
    <t xml:space="preserve">Team plan</t>
  </si>
  <si>
    <t xml:space="preserve">https://blog.struct.ai/sentry-pricing-error-monitoring-2026/</t>
  </si>
  <si>
    <t xml:space="preserve">resend-pro</t>
  </si>
  <si>
    <t xml:space="preserve">Resend</t>
  </si>
  <si>
    <t xml:space="preserve">Email Pro</t>
  </si>
  <si>
    <t xml:space="preserve">https://resend.com/pricing</t>
  </si>
  <si>
    <t xml:space="preserve">gworkspace-user</t>
  </si>
  <si>
    <t xml:space="preserve">Google Workspace</t>
  </si>
  <si>
    <t xml:space="preserve">Seat (estimate)</t>
  </si>
  <si>
    <t xml:space="preserve">$ / user-month</t>
  </si>
  <si>
    <t xml:space="preserve">https://workspace.google.com/pricing</t>
  </si>
  <si>
    <t xml:space="preserve">domain-ai-year</t>
  </si>
  <si>
    <t xml:space="preserve">Registrar</t>
  </si>
  <si>
    <t xml:space="preserve">.ai domain (estimate)</t>
  </si>
  <si>
    <t xml:space="preserve">$ / year</t>
  </si>
  <si>
    <t xml:space="preserve">lightsail-2gb</t>
  </si>
  <si>
    <t xml:space="preserve">AWS Lightsail</t>
  </si>
  <si>
    <t xml:space="preserve">SDR server (legacy)</t>
  </si>
  <si>
    <t xml:space="preserve">https://aws.amazon.com/lightsail/pricing/</t>
  </si>
  <si>
    <t xml:space="preserve">openrouter-fee</t>
  </si>
  <si>
    <t xml:space="preserve">Fees</t>
  </si>
  <si>
    <t xml:space="preserve">OpenRouter</t>
  </si>
  <si>
    <t xml:space="preserve">Credit purchase fee (now applies to ~all AI spend)</t>
  </si>
  <si>
    <t xml:space="preserve">% of top-up</t>
  </si>
  <si>
    <t xml:space="preserve">$0.80 minimum per purchase</t>
  </si>
  <si>
    <t xml:space="preserve">https://omidsaffari.com/blog/openrouter-pricing</t>
  </si>
  <si>
    <t xml:space="preserve">paddle-pct</t>
  </si>
  <si>
    <t xml:space="preserve">Paddle</t>
  </si>
  <si>
    <t xml:space="preserve">Merchant of record %</t>
  </si>
  <si>
    <t xml:space="preserve">% of charge</t>
  </si>
  <si>
    <t xml:space="preserve">https://jawadhassan.dev/blog/paddle-vs-lemonsqueezy-pakistan</t>
  </si>
  <si>
    <t xml:space="preserve">paddle-fixed</t>
  </si>
  <si>
    <t xml:space="preserve">Per transaction</t>
  </si>
  <si>
    <t xml:space="preserve">$ / transaction</t>
  </si>
  <si>
    <t xml:space="preserve">payout-fx</t>
  </si>
  <si>
    <t xml:space="preserve">Payoneer / bank</t>
  </si>
  <si>
    <t xml:space="preserve">USD to PKR spread (estimate)</t>
  </si>
  <si>
    <t xml:space="preserve">% of revenue</t>
  </si>
  <si>
    <t xml:space="preserve">pk-tax-pseb</t>
  </si>
  <si>
    <t xml:space="preserve">Tax</t>
  </si>
  <si>
    <t xml:space="preserve">FBR Pakistan</t>
  </si>
  <si>
    <t xml:space="preserve">IT export tax, PSEB-registered</t>
  </si>
  <si>
    <t xml:space="preserve">% of export proceeds</t>
  </si>
  <si>
    <t xml:space="preserve">1% if not registered</t>
  </si>
  <si>
    <t xml:space="preserve">https://filing.pk/blog/freelancer-tax-pakistan</t>
  </si>
  <si>
    <t xml:space="preserve">usd-pkr</t>
  </si>
  <si>
    <t xml:space="preserve">FX</t>
  </si>
  <si>
    <t xml:space="preserve">Market</t>
  </si>
  <si>
    <t xml:space="preserve">USD to PKR</t>
  </si>
  <si>
    <t xml:space="preserve">PKR per USD</t>
  </si>
  <si>
    <t xml:space="preserve">2026-09-23</t>
  </si>
  <si>
    <t xml:space="preserve">https://www.poundsterlinglive.com/history/USD-PKR-2026</t>
  </si>
  <si>
    <t xml:space="preserve">Fixed monthly operating costs by stage (USD)</t>
  </si>
  <si>
    <t xml:space="preserve">Variable per-customer costs are on the Plans tab.</t>
  </si>
  <si>
    <t xml:space="preserve">Item</t>
  </si>
  <si>
    <t xml:space="preserve">Vendor / basis</t>
  </si>
  <si>
    <t xml:space="preserve">Launch</t>
  </si>
  <si>
    <t xml:space="preserve">Traction</t>
  </si>
  <si>
    <t xml:space="preserve">Stage starts at paying customers</t>
  </si>
  <si>
    <t xml:space="preserve">App hosting (Railway usage)</t>
  </si>
  <si>
    <t xml:space="preserve">Railway Pro</t>
  </si>
  <si>
    <t xml:space="preserve">Cron hooks keep it always on</t>
  </si>
  <si>
    <t xml:space="preserve">Redis cache</t>
  </si>
  <si>
    <t xml:space="preserve">Railway Redis</t>
  </si>
  <si>
    <t xml:space="preserve">Supabase Pro</t>
  </si>
  <si>
    <t xml:space="preserve">Supabase compute upgrade (net of $10 credit)</t>
  </si>
  <si>
    <t xml:space="preserve">Supabase storage + egress (videos)</t>
  </si>
  <si>
    <t xml:space="preserve">More video now; OpenRouter files are downloaded and stored</t>
  </si>
  <si>
    <t xml:space="preserve">Post for Me base plan (minimum)</t>
  </si>
  <si>
    <t xml:space="preserve">$10 covers 1,000 posts; usage above that is in cost to serve</t>
  </si>
  <si>
    <t xml:space="preserve">Error monitoring</t>
  </si>
  <si>
    <t xml:space="preserve">Transactional email</t>
  </si>
  <si>
    <t xml:space="preserve">Weekly briefings + reports raise email volume</t>
  </si>
  <si>
    <t xml:space="preserve">Google</t>
  </si>
  <si>
    <t xml:space="preserve">.ai domain</t>
  </si>
  <si>
    <t xml:space="preserve">Self-hosted Firecrawl / Helicone server</t>
  </si>
  <si>
    <t xml:space="preserve">VPS</t>
  </si>
  <si>
    <t xml:space="preserve">Turn off: Post for Me replaces it</t>
  </si>
  <si>
    <t xml:space="preserve">Internal AI use (dev, QA, evals, live tests)</t>
  </si>
  <si>
    <t xml:space="preserve">Opus 5.5 evals are pricier</t>
  </si>
  <si>
    <t xml:space="preserve">Uptime monitor + support desk</t>
  </si>
  <si>
    <t xml:space="preserve">Various</t>
  </si>
  <si>
    <t xml:space="preserve">Accountant, FBR / SECP / PSEB</t>
  </si>
  <si>
    <t xml:space="preserve">Pakistan</t>
  </si>
  <si>
    <t xml:space="preserve">Legal (terms, privacy, DPA)</t>
  </si>
  <si>
    <t xml:space="preserve">Lawyer</t>
  </si>
  <si>
    <t xml:space="preserve">Founder dev tools</t>
  </si>
  <si>
    <t xml:space="preserve">Baseline marketing</t>
  </si>
  <si>
    <t xml:space="preserve">Team, excluding founders</t>
  </si>
  <si>
    <t xml:space="preserve">Salaries</t>
  </si>
  <si>
    <t xml:space="preserve">TOTAL FIXED COSTS (USD / month)</t>
  </si>
  <si>
    <t xml:space="preserve">TOTAL FIXED COSTS (PKR / month)</t>
  </si>
  <si>
    <t xml:space="preserve">Run cost (excluding team and marketing)</t>
  </si>
  <si>
    <t xml:space="preserve">24-month projection (three scenarios)</t>
  </si>
  <si>
    <t xml:space="preserve">Pick the scenario in B4. Drivers in rows 7-23; everything else is formula.</t>
  </si>
  <si>
    <t xml:space="preserve">Scenario in use (1 = Conservative, 2 = Base, 3 = Optimistic)</t>
  </si>
  <si>
    <t xml:space="preserve">Driver</t>
  </si>
  <si>
    <t xml:space="preserve">Conservative</t>
  </si>
  <si>
    <t xml:space="preserve">Base</t>
  </si>
  <si>
    <t xml:space="preserve">Optimistic</t>
  </si>
  <si>
    <t xml:space="preserve">In use</t>
  </si>
  <si>
    <t xml:space="preserve">New paying customers in month 1</t>
  </si>
  <si>
    <t xml:space="preserve">Monthly growth in new customers, months 1-12</t>
  </si>
  <si>
    <t xml:space="preserve">Monthly growth in new customers, months 13-24</t>
  </si>
  <si>
    <t xml:space="preserve">Plan mix: Starter</t>
  </si>
  <si>
    <t xml:space="preserve">Plan mix: Growth</t>
  </si>
  <si>
    <t xml:space="preserve">Plan mix: Agency</t>
  </si>
  <si>
    <t xml:space="preserve">Plan mix: Scale</t>
  </si>
  <si>
    <t xml:space="preserve">Monthly churn: Starter</t>
  </si>
  <si>
    <t xml:space="preserve">Monthly churn: Growth</t>
  </si>
  <si>
    <t xml:space="preserve">Monthly churn: Agency</t>
  </si>
  <si>
    <t xml:space="preserve">Monthly churn: Scale</t>
  </si>
  <si>
    <t xml:space="preserve">Average discount (founding offers, promos)</t>
  </si>
  <si>
    <t xml:space="preserve">Add-ons + credit/video packs as % of subscription revenue</t>
  </si>
  <si>
    <t xml:space="preserve">Backlink spend per paying customer ($/month)</t>
  </si>
  <si>
    <t xml:space="preserve">Acquisition cost per new paying customer</t>
  </si>
  <si>
    <t xml:space="preserve">Free users per paying customer</t>
  </si>
  <si>
    <t xml:space="preserve">Cost per free user per month (from Plans)</t>
  </si>
  <si>
    <t xml:space="preserve">Total / KPI</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</si>
  <si>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</si>
  <si>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</si>
  <si>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</si>
  <si>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</si>
  <si>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</si>
  <si>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</si>
  <si>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</si>
  <si>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</si>
  <si>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</si>
  <si>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</si>
  <si>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</si>
  <si>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</si>
  <si>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</si>
  <si>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</si>
  <si>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</si>
  <si>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</si>
  <si>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</si>
  <si>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</si>
  <si>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</si>
  <si>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</si>
  <si>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</si>
  <si>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</si>
  <si>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</si>
  <si>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</si>
  <si>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New paying customers</t>
  </si>
  <si>
    <t xml:space="preserve">Active Starter</t>
  </si>
  <si>
    <t xml:space="preserve">Active Growth</t>
  </si>
  <si>
    <t xml:space="preserve">Active Agency</t>
  </si>
  <si>
    <t xml:space="preserve">Active Scale</t>
  </si>
  <si>
    <t xml:space="preserve">Active paying customers</t>
  </si>
  <si>
    <t xml:space="preserve">Cost stage (1-4)</t>
  </si>
  <si>
    <t xml:space="preserve">Subscription revenue: Starter</t>
  </si>
  <si>
    <t xml:space="preserve">Subscription revenue: Growth</t>
  </si>
  <si>
    <t xml:space="preserve">Subscription revenue: Agency</t>
  </si>
  <si>
    <t xml:space="preserve">Subscription revenue: Scale</t>
  </si>
  <si>
    <t xml:space="preserve">Subscription revenue (MRR)</t>
  </si>
  <si>
    <t xml:space="preserve">Add-ons + packs</t>
  </si>
  <si>
    <t xml:space="preserve">Backlink sales</t>
  </si>
  <si>
    <t xml:space="preserve">TOTAL REVENUE</t>
  </si>
  <si>
    <t xml:space="preserve">Cost to serve subscribers (typical)</t>
  </si>
  <si>
    <t xml:space="preserve">Cost of add-ons and packs</t>
  </si>
  <si>
    <t xml:space="preserve">Backlink provider cost</t>
  </si>
  <si>
    <t xml:space="preserve">Free users</t>
  </si>
  <si>
    <t xml:space="preserve">Payment, FX and export tax</t>
  </si>
  <si>
    <t xml:space="preserve">GROSS PROFIT</t>
  </si>
  <si>
    <t xml:space="preserve">Gross margin</t>
  </si>
  <si>
    <t xml:space="preserve">Customer acquisition spend</t>
  </si>
  <si>
    <t xml:space="preserve">Fixed operating costs (by stage)</t>
  </si>
  <si>
    <t xml:space="preserve">NET PROFIT / (BURN)</t>
  </si>
  <si>
    <t xml:space="preserve">Cumulative cash</t>
  </si>
  <si>
    <t xml:space="preserve">ARR run-rate</t>
  </si>
  <si>
    <t xml:space="preserve">Helper: month number if loss-making</t>
  </si>
  <si>
    <t xml:space="preserve">Break-even month (profitable every month after)</t>
  </si>
  <si>
    <t xml:space="preserve">Most cash needed</t>
  </si>
  <si>
    <t xml:space="preserve">MRR at month 12</t>
  </si>
  <si>
    <t xml:space="preserve">MRR at month 24</t>
  </si>
  <si>
    <t xml:space="preserve">Paying customers at month 12</t>
  </si>
  <si>
    <t xml:space="preserve">Paying customers at month 24</t>
  </si>
  <si>
    <t xml:space="preserve">Gross margin at month 24</t>
  </si>
  <si>
    <t xml:space="preserve">Cumulative profit over 24 months</t>
  </si>
  <si>
    <t xml:space="preserve">How many paying customers cover the bills</t>
  </si>
  <si>
    <t xml:space="preserve">Scenario mix from the Projection tab; add-ons and backlinks ignored (upside).</t>
  </si>
  <si>
    <t xml:space="preserve">Average list price per paying customer</t>
  </si>
  <si>
    <t xml:space="preserve">After annual and promo discounts</t>
  </si>
  <si>
    <t xml:space="preserve">Average cost to serve (typical)</t>
  </si>
  <si>
    <t xml:space="preserve">Payment, FX and tax</t>
  </si>
  <si>
    <t xml:space="preserve">Free users carried per paying customer</t>
  </si>
  <si>
    <t xml:space="preserve">CONTRIBUTION PER PAYING CUSTOMER / MONTH</t>
  </si>
  <si>
    <t xml:space="preserve">Founder salaries to cover (PKR / month, total)</t>
  </si>
  <si>
    <t xml:space="preserve">Founder salaries in USD</t>
  </si>
  <si>
    <t xml:space="preserve">Bills to cover</t>
  </si>
  <si>
    <t xml:space="preserve">Paying customers needed</t>
  </si>
  <si>
    <t xml:space="preserve">Monthly bill ($)</t>
  </si>
  <si>
    <t xml:space="preserve">Launch stage costs (founders unpaid)</t>
  </si>
  <si>
    <t xml:space="preserve">Traction stage costs (founders unpaid)</t>
  </si>
  <si>
    <t xml:space="preserve">Growth stage costs (founders unpaid)</t>
  </si>
  <si>
    <t xml:space="preserve">Scale stage costs (founders unpaid)</t>
  </si>
  <si>
    <t xml:space="preserve">Launch stage costs + founder salaries</t>
  </si>
  <si>
    <t xml:space="preserve">Traction stage costs + founder salaries</t>
  </si>
  <si>
    <t xml:space="preserve">Growth stage costs + founder salaries</t>
  </si>
  <si>
    <t xml:space="preserve">Video provider split: KIE vs OpenRouter</t>
  </si>
  <si>
    <t xml:space="preserve">Plans run KIE for Veo and Grok for now, OpenRouter for the rest. Even all-OpenRouter still clears the plan margins.</t>
  </si>
  <si>
    <t xml:space="preserve">Video option</t>
  </si>
  <si>
    <t xml:space="preserve">OpenRouter ($)</t>
  </si>
  <si>
    <t xml:space="preserve">KIE ($)</t>
  </si>
  <si>
    <t xml:space="preserve">OpenRouter / KIE</t>
  </si>
  <si>
    <t xml:space="preserve">Runs on now</t>
  </si>
  <si>
    <t xml:space="preserve">Per customer per month (typical video use)</t>
  </si>
  <si>
    <t xml:space="preserve">Video cost if everything ran on OpenRouter</t>
  </si>
  <si>
    <t xml:space="preserve">Video cost in the active mode (split)</t>
  </si>
  <si>
    <t xml:space="preserve">Monthly saving per customer from keeping KIE for Veo and Grok</t>
  </si>
  <si>
    <t xml:space="preserve">Blended cost per video credit: OpenRouter</t>
  </si>
  <si>
    <t xml:space="preserve">Blended cost per video credit: KIE</t>
  </si>
  <si>
    <t xml:space="preserve">Note: KIE prices for Gemini Omni and MiniMax H3 are estimates (Kie does not publish them); Veo, Seedance and Grok are from your own registry.</t>
  </si>
  <si>
    <t xml:space="preserve">What changed with the new model stack</t>
  </si>
  <si>
    <t xml:space="preserve">v1 = yesterday's model (Qwen3 Max, Sonnet 5, KIE media). v2 = OpenRouter tiers from your spec.</t>
  </si>
  <si>
    <t xml:space="preserve">Task</t>
  </si>
  <si>
    <t xml:space="preserve">v1 cost ($)</t>
  </si>
  <si>
    <t xml:space="preserve">v2 cost ($)</t>
  </si>
  <si>
    <t xml:space="preserve">Change</t>
  </si>
  <si>
    <t xml:space="preserve">Why</t>
  </si>
  <si>
    <t xml:space="preserve">Chat message, default</t>
  </si>
  <si>
    <t xml:space="preserve">Qwen3 Max -&gt; Gemini 3.8 Flash (low effort)</t>
  </si>
  <si>
    <t xml:space="preserve">Chat message, Pro</t>
  </si>
  <si>
    <t xml:space="preserve">Pro was also Qwen; now Claude Opus 5.5 with thinking</t>
  </si>
  <si>
    <t xml:space="preserve">Sonnet 5 low -&gt; Opus 5.5 medium, 12k tokens</t>
  </si>
  <si>
    <t xml:space="preserve">Social post set</t>
  </si>
  <si>
    <t xml:space="preserve">Reasoning tokens at medium effort</t>
  </si>
  <si>
    <t xml:space="preserve">Two medium-effort calls + OpenRouter image</t>
  </si>
  <si>
    <t xml:space="preserve">Qwen -&gt; Opus 5.5 medium</t>
  </si>
  <si>
    <t xml:space="preserve">Sonnet -&gt; Opus 5.5</t>
  </si>
  <si>
    <t xml:space="preserve">Sonnet medium -&gt; Opus 5.5 medium</t>
  </si>
  <si>
    <t xml:space="preserve">Competitor sweep</t>
  </si>
  <si>
    <t xml:space="preserve">Sonnet -&gt; Flash Lite (cheaper)</t>
  </si>
  <si>
    <t xml:space="preserve">GEO Engineer run</t>
  </si>
  <si>
    <t xml:space="preserve">Sonnet -&gt; Opus 5.5 high</t>
  </si>
  <si>
    <t xml:space="preserve">UGC concept pack</t>
  </si>
  <si>
    <t xml:space="preserve">Sonnet -&gt; Gemini 3.8 Flash (cheaper)</t>
  </si>
  <si>
    <t xml:space="preserve">KIE -&gt; OpenRouter GPT Image 2.5</t>
  </si>
  <si>
    <t xml:space="preserve">One tracked prompt (all engines)</t>
  </si>
  <si>
    <t xml:space="preserve">v1: 4 real-answer engines via DataForSEO; v2: 3 model probes</t>
  </si>
  <si>
    <t xml:space="preserve">Standard 8s video (Veo 3.1 Fast 720p)</t>
  </si>
  <si>
    <t xml:space="preserve">KIE $0.30 -&gt; OpenRouter $0.10/s x 8s + 5.5%</t>
  </si>
  <si>
    <t xml:space="preserve">v1 price</t>
  </si>
  <si>
    <t xml:space="preserve">v2 price</t>
  </si>
  <si>
    <t xml:space="preserve">v2 typical margin</t>
  </si>
  <si>
    <t xml:space="preserve">What changed</t>
  </si>
  <si>
    <t xml:space="preserve">Kept at $49; more credits (2,000), 4 videos, 30 Pro messages</t>
  </si>
  <si>
    <t xml:space="preserve">Kept at $149; 12 videos, 150 Pro messages, weekly Market Brain</t>
  </si>
  <si>
    <t xml:space="preserve">+$50: Opus-powered research and 40 videos cost more to serve</t>
  </si>
  <si>
    <t xml:space="preserve">+$200 for the same reason</t>
  </si>
  <si>
    <t xml:space="preserve">Pakistan pricing (local agencies and SMEs)</t>
  </si>
  <si>
    <t xml:space="preserve">Local sales are not IT exports: provincial sales tax on services applies. Confirm with your tax advisor.</t>
  </si>
  <si>
    <t xml:space="preserve">USD list</t>
  </si>
  <si>
    <t xml:space="preserve">PKR at market rate</t>
  </si>
  <si>
    <t xml:space="preserve">Suggested local price (PKR)</t>
  </si>
  <si>
    <t xml:space="preserve">Local price in USD</t>
  </si>
  <si>
    <t xml:space="preserve">Gateway fee</t>
  </si>
  <si>
    <t xml:space="preserve">Sales tax (inclusive)</t>
  </si>
  <si>
    <t xml:space="preserve">Margin at local price</t>
  </si>
  <si>
    <t xml:space="preserve">Inputs</t>
  </si>
  <si>
    <t xml:space="preserve">Local gateway fee</t>
  </si>
  <si>
    <t xml:space="preserve">Sales tax on IT services (verify)</t>
  </si>
  <si>
    <t xml:space="preserve">Cost and product risks in the new model setup, with fixes</t>
  </si>
  <si>
    <t xml:space="preserve">Ordered by money at stake.</t>
  </si>
  <si>
    <t xml:space="preserve">#</t>
  </si>
  <si>
    <t xml:space="preserve">Severity</t>
  </si>
  <si>
    <t xml:space="preserve">Finding</t>
  </si>
  <si>
    <t xml:space="preserve">Money at stake</t>
  </si>
  <si>
    <t xml:space="preserve">Fix</t>
  </si>
  <si>
    <t xml:space="preserve">High</t>
  </si>
  <si>
    <t xml:space="preserve">KIE carries Veo and Grok for now. If KIE goes away, Standard Veo 3.1 Fast 8s goes from $0.30 to $0.84 and Draft from $0.15 to $0.42.</t>
  </si>
  <si>
    <t xml:space="preserve">About $10 a month on a typical Agency customer</t>
  </si>
  <si>
    <t xml:space="preserve">Keep KIE primary for Veo and Grok with OpenRouter as fallback. Plans still clear 60%+ typical margin in all-OpenRouter mode (set Inputs &gt; video mode to openrouter to check).</t>
  </si>
  <si>
    <t xml:space="preserve">Grok Imagine on OpenRouter costs $0.14/s (about $0.90 for 6s) versus $0.12 on KIE. If variation ever falls back to it, it costs more than a Standard video.</t>
  </si>
  <si>
    <t xml:space="preserve">7.5x on the variation path</t>
  </si>
  <si>
    <t xml:space="preserve">Variation runs on KIE Grok; its fallback is Veo 3.1 Lite 720p on OpenRouter (about $0.32 for 6s), never Grok on OpenRouter.</t>
  </si>
  <si>
    <t xml:space="preserve">Medium</t>
  </si>
  <si>
    <t xml:space="preserve">Social posting moved to Post for Me: $10 for 1,000 posts, unlimited accounts. Posts are now unlimited on every plan, Free included, and never use credits. A spam or bot account on Free could post thousands of times.</t>
  </si>
  <si>
    <t xml:space="preserve">$0.01 a post; a Free user at the 100-post cap costs about $1 a month</t>
  </si>
  <si>
    <t xml:space="preserve">Fair-use caps per plan (100 / 500 / 1,500 / 5,000 / 15,000 posts a month, each network counts), verified email before publishing, per-account rate limits, and confirm with Post for Me how a multi-network post is counted and what higher tiers cost.</t>
  </si>
  <si>
    <t xml:space="preserve">GEO probes: GPT-5.6 Luna and Gemini 3.8 Flash answer from memory (no web search), so they do not show what ChatGPT or Gemini users actually see. Google AI Overviews are not tracked at all, although the product promises them.</t>
  </si>
  <si>
    <t xml:space="preserve">Credibility of the core AI-visibility claim</t>
  </si>
  <si>
    <t xml:space="preserve">Add the OpenRouter web plugin to both probes (+$0.007 each), or use DataForSEO real answers (ChatGPT $0.0012, AI Overviews $0.0006). Offer AI Overviews as a $15 add-on until then.</t>
  </si>
  <si>
    <t xml:space="preserve">Premium routes now cost 2-9x more: Brand DNA $0.08 -&gt; $0.24, articles $0.02 -&gt; $0.20, Coach $0.10 -&gt; $0.20, Market Brain $0.12 -&gt; $0.25, GEO fix $0.10 -&gt; $0.29.</t>
  </si>
  <si>
    <t xml:space="preserve">Covered by the new credit prices</t>
  </si>
  <si>
    <t xml:space="preserve">Credit Menu reprices these. Market Brain moves to weekly by default; daily is a $29/brand add-on (daily Opus refreshes would cost $7.50 per brand per month).</t>
  </si>
  <si>
    <t xml:space="preserve">Every free signup triggers an Opus Brand DNA scan + Brand Kit analysis: about $0.34 each, paid upfront even if the user never returns.</t>
  </si>
  <si>
    <t xml:space="preserve">$340 per 1,000 free signups</t>
  </si>
  <si>
    <t xml:space="preserve">Run free-tier Brand DNA on WORKHORSE (~$0.04); re-scan on PREMIUM when they upgrade.</t>
  </si>
  <si>
    <t xml:space="preserve">Mellox Pro chat on Opus 5.5 costs about $0.05 a message, 5x Mellox Flash.</t>
  </si>
  <si>
    <t xml:space="preserve">Unbounded if Pro is unlimited</t>
  </si>
  <si>
    <t xml:space="preserve">Pro is an allowance per plan (30 / 150 / 400 / 1,200), then 25 credits per message.</t>
  </si>
  <si>
    <t xml:space="preserve">GEO agent cap ($1.50 per run) was set for Sonnet. Opus 5.5 at high effort costs about twice as much per token, so runs will hit the cap and stop early.</t>
  </si>
  <si>
    <t xml:space="preserve">Failed runs that still cost money</t>
  </si>
  <si>
    <t xml:space="preserve">Raise GEO_AGENT_MAX_COST_USD to $3.00 and charge 800 credits per run.</t>
  </si>
  <si>
    <t xml:space="preserve">WORKHORSE falls back to GPT-5.6 Terra, which costs 2.7x (input) and 3.2x (output) Gemini 3.8 Flash. Sending data_collection: deny can shrink the provider pool and push more traffic to the fallback.</t>
  </si>
  <si>
    <t xml:space="preserve">+6% text cost at 3% fallback share; +60% at 30%</t>
  </si>
  <si>
    <t xml:space="preserve">Alert when the answering-model share of Terra passes 10%; consider GPT-5.6 Luna or Gemini 3.1 Flash Lite as the Workhorse fallback.</t>
  </si>
  <si>
    <t xml:space="preserve">Reasoning tokens are billed as output and count against max_tokens. The reasoning estimates here (e.g. 3,000 for PREMIUM medium) are assumptions.</t>
  </si>
  <si>
    <t xml:space="preserve">±30% on Premium task costs</t>
  </si>
  <si>
    <t xml:space="preserve">Meter reasoning tokens (the spec now records them) and update the Inputs table after two weeks of real traffic.</t>
  </si>
  <si>
    <t xml:space="preserve">All AI now runs through OpenRouter, so its 5.5% top-up fee applies to everything, including Claude (Anthropic direct had no fee).</t>
  </si>
  <si>
    <t xml:space="preserve">5.5% of AI spend</t>
  </si>
  <si>
    <t xml:space="preserve">Buy OpenRouter credits in larger top-ups (the $0.80 minimum fee hurts small ones); at scale, ask about BYOK.</t>
  </si>
  <si>
    <t xml:space="preserve">Low</t>
  </si>
  <si>
    <t xml:space="preserve">Opus 5.5 can be served by an older Claude model when safeguards trigger.</t>
  </si>
  <si>
    <t xml:space="preserve">Quality, not cost</t>
  </si>
  <si>
    <t xml:space="preserve">Log the answering model (spec already does) and watch the share.</t>
  </si>
  <si>
    <t xml:space="preserve">Carry-over</t>
  </si>
  <si>
    <t xml:space="preserve">Still open from v1: Stripe cannot onboard a Pakistani company (use Paddle); plan limits need a billing account above workspaces; rotate leaked keys.</t>
  </si>
  <si>
    <t xml:space="preserve">Blocks revenue</t>
  </si>
  <si>
    <t xml:space="preserve">See the pricing doc's engineering checklist.</t>
  </si>
  <si>
    <t xml:space="preserve">Note</t>
  </si>
  <si>
    <t xml:space="preserve">The migration branch (feat/openrouter-models) is not in the codebase on disk yet, so costs follow the spec's routing table.</t>
  </si>
  <si>
    <t xml:space="preserve">Estimates until merged</t>
  </si>
  <si>
    <t xml:space="preserve">Run the Calibrate (SQL) queries two weeks after the merge.</t>
  </si>
  <si>
    <t xml:space="preserve">Replace estimates with real numbers after the migration</t>
  </si>
  <si>
    <t xml:space="preserve">Run in the Supabase SQL editor. Output tokens include reasoning tokens on the new gateway.</t>
  </si>
  <si>
    <t xml:space="preserve">1. Cost, tokens and answering model per route (last 14 days)</t>
  </si>
  <si>
    <t xml:space="preserve">select route, model, count(*) calls,
  round(avg(input_tokens)) avg_in, round(avg(output_tokens)) avg_out_incl_reasoning,
  round((sum(est_cost_usd)/nullif(count(*),0))::numeric, 5) usd_per_call,
  round(sum(est_cost_usd)::numeric, 2) total_usd
from ai_usage_events
where created_at &gt; now() - interval '14 days' and status = 'ok'
group by 1,2 order by total_usd desc;</t>
  </si>
  <si>
    <t xml:space="preserve">2. Fallback share: how often the fallback model answered</t>
  </si>
  <si>
    <t xml:space="preserve">select route,
  round(100.0*avg(case when model like 'openai/gpt-5.6-terra%' or model like 'openai/gpt-5.6-luna%' then 1 else 0 end),1) fallback_pct,
  count(*) calls
from ai_usage_events where created_at &gt; now() - interval '14 days' and kind = 'text'
group by 1 order by fallback_pct desc;</t>
  </si>
  <si>
    <t xml:space="preserve">3. Cost per workspace per month (who is expensive?)</t>
  </si>
  <si>
    <t xml:space="preserve">select workspace_id, date_trunc('month', created_at) month,
  round(sum(est_cost_usd)::numeric, 2) usd,
  round(sum(case when kind='video' then est_cost_usd else 0 end)::numeric, 2) video_usd,
  round(sum(case when kind='image' then est_cost_usd else 0 end)::numeric, 2) image_usd
from ai_usage_events group by 1,2 order by usd desc limit 50;</t>
  </si>
  <si>
    <t xml:space="preserve">4. Video cost per model and provider</t>
  </si>
  <si>
    <t xml:space="preserve">select provider, model_key, resolution, duration_sec, count(*) renders,
  round(avg(est_cost_usd)::numeric, 3) est_usd
from ugc_renders where status = 'succeeded'
group by 1,2,3,4 order by renders desc;</t>
  </si>
  <si>
    <t xml:space="preserve">5. Mellox Pro vs Flash chat usage per workspace</t>
  </si>
  <si>
    <t xml:space="preserve">select workspace_id, model, count(*) messages, round(sum(est_cost_usd)::numeric, 2) usd
from ai_usage_events where route = 'chat' group by 1,2 order by usd desc limit 50;</t>
  </si>
</sst>
</file>

<file path=xl/styles.xml><?xml version="1.0" encoding="utf-8"?>
<styleSheet xmlns="http://schemas.openxmlformats.org/spreadsheetml/2006/main">
  <numFmts count="16">
    <numFmt numFmtId="164" formatCode="General"/>
    <numFmt numFmtId="165" formatCode="\$#,##0;&quot;($&quot;#,##0\);\-"/>
    <numFmt numFmtId="166" formatCode="#,##0;\(#,##0\);\-"/>
    <numFmt numFmtId="167" formatCode="\$#,##0.00;&quot;($&quot;#,##0.00\);\-"/>
    <numFmt numFmtId="168" formatCode="\$#,##0.0000;&quot;($&quot;#,##0.0000\);\-"/>
    <numFmt numFmtId="169" formatCode="0.0%;\(0.0%\);\-"/>
    <numFmt numFmtId="170" formatCode="0"/>
    <numFmt numFmtId="171" formatCode="#,##0.00"/>
    <numFmt numFmtId="172" formatCode="\$0.000"/>
    <numFmt numFmtId="173" formatCode="0.00\x"/>
    <numFmt numFmtId="174" formatCode="0.00%"/>
    <numFmt numFmtId="175" formatCode="0.00"/>
    <numFmt numFmtId="176" formatCode="#,##0.0;\(#,##0.0\);\-"/>
    <numFmt numFmtId="177" formatCode="0.0\x"/>
    <numFmt numFmtId="178" formatCode="&quot;PKR &quot;#,##0;&quot;(PKR &quot;#,##0\);\-"/>
    <numFmt numFmtId="179"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0B1F17"/>
      <name val="Arial"/>
      <family val="0"/>
      <charset val="1"/>
    </font>
    <font>
      <sz val="11"/>
      <color theme="1"/>
      <name val="Arial"/>
      <family val="0"/>
      <charset val="1"/>
    </font>
    <font>
      <i val="true"/>
      <sz val="10"/>
      <color rgb="FF555555"/>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b val="true"/>
      <sz val="10"/>
      <color rgb="FFC00000"/>
      <name val="Arial"/>
      <family val="0"/>
      <charset val="1"/>
    </font>
    <font>
      <sz val="9"/>
      <name val="Courier New"/>
      <family val="0"/>
      <charset val="1"/>
    </font>
  </fonts>
  <fills count="5">
    <fill>
      <patternFill patternType="none"/>
    </fill>
    <fill>
      <patternFill patternType="gray125"/>
    </fill>
    <fill>
      <patternFill patternType="solid">
        <fgColor rgb="FF15261E"/>
        <bgColor rgb="FF0B1F17"/>
      </patternFill>
    </fill>
    <fill>
      <patternFill patternType="solid">
        <fgColor rgb="FFFFFF00"/>
        <bgColor rgb="FFFFFF00"/>
      </patternFill>
    </fill>
    <fill>
      <patternFill patternType="solid">
        <fgColor rgb="FFDDEFD0"/>
        <bgColor rgb="FFFDE2E2"/>
      </patternFill>
    </fill>
  </fills>
  <borders count="2">
    <border diagonalUp="false" diagonalDown="false">
      <left/>
      <right/>
      <top/>
      <bottom/>
      <diagonal/>
    </border>
    <border diagonalUp="false" diagonalDown="false">
      <left style="thin">
        <color rgb="FFC8C8C8"/>
      </left>
      <right style="thin">
        <color rgb="FFC8C8C8"/>
      </right>
      <top style="thin">
        <color rgb="FFC8C8C8"/>
      </top>
      <bottom style="thin">
        <color rgb="FFC8C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2" fontId="11" fillId="3" borderId="1" xfId="0" applyFont="true" applyBorder="true" applyAlignment="false" applyProtection="false">
      <alignment horizontal="general" vertical="bottom" textRotation="0" wrapText="false" indent="0" shrinkToFit="false"/>
      <protection locked="true" hidden="false"/>
    </xf>
    <xf numFmtId="173" fontId="11"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5"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76" fontId="11" fillId="3" borderId="1" xfId="0" applyFont="true" applyBorder="true" applyAlignment="false" applyProtection="false">
      <alignment horizontal="general" vertical="bottom" textRotation="0" wrapText="false" indent="0" shrinkToFit="false"/>
      <protection locked="true" hidden="false"/>
    </xf>
    <xf numFmtId="175" fontId="10" fillId="0" borderId="1" xfId="0" applyFont="true" applyBorder="true" applyAlignment="false" applyProtection="false">
      <alignment horizontal="general" vertical="bottom" textRotation="0" wrapText="false" indent="0" shrinkToFit="false"/>
      <protection locked="true" hidden="false"/>
    </xf>
    <xf numFmtId="176" fontId="11"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70" fontId="11"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8" fontId="11" fillId="3"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b val="1"/>
        <color rgb="FFC00000"/>
      </font>
      <fill>
        <patternFill>
          <bgColor rgb="FFFDE2E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8C8C8"/>
      <rgbColor rgb="FF808080"/>
      <rgbColor rgb="FF9999FF"/>
      <rgbColor rgb="FF993366"/>
      <rgbColor rgb="FFFDE2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FD0"/>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1F17"/>
      <rgbColor rgb="FF333300"/>
      <rgbColor rgb="FF993300"/>
      <rgbColor rgb="FF993366"/>
      <rgbColor rgb="FF333399"/>
      <rgbColor rgb="FF1526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4"/>
    <col collapsed="false" customWidth="true" hidden="false" outlineLevel="0" max="4" min="4" style="0" width="12"/>
    <col collapsed="false" customWidth="true" hidden="false" outlineLevel="0" max="6" min="5" style="0" width="14"/>
    <col collapsed="false" customWidth="true" hidden="false" outlineLevel="0" max="7" min="7" style="0" width="20"/>
    <col collapsed="false" customWidth="true" hidden="false" outlineLevel="0" max="8" min="8" style="0" width="22"/>
  </cols>
  <sheetData>
    <row r="1" customFormat="false" ht="17.35"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4" t="s">
        <v>2</v>
      </c>
      <c r="B4" s="2"/>
      <c r="C4" s="2"/>
      <c r="D4" s="2"/>
      <c r="E4" s="2"/>
      <c r="F4" s="2"/>
      <c r="G4" s="2"/>
      <c r="H4" s="2"/>
    </row>
    <row r="5" customFormat="false" ht="45" hidden="false" customHeight="true" outlineLevel="0" collapsed="false">
      <c r="A5" s="5" t="s">
        <v>3</v>
      </c>
      <c r="B5" s="5"/>
      <c r="C5" s="5"/>
      <c r="D5" s="5"/>
      <c r="E5" s="5"/>
      <c r="F5" s="5"/>
      <c r="G5" s="5"/>
      <c r="H5" s="5"/>
    </row>
    <row r="6" customFormat="false" ht="15" hidden="false" customHeight="false" outlineLevel="0" collapsed="false">
      <c r="A6" s="2"/>
      <c r="B6" s="2"/>
      <c r="C6" s="2"/>
      <c r="D6" s="2"/>
      <c r="E6" s="2"/>
      <c r="F6" s="2"/>
      <c r="G6" s="2"/>
      <c r="H6" s="2"/>
    </row>
    <row r="7" customFormat="false" ht="30" hidden="false" customHeight="true" outlineLevel="0" collapsed="false">
      <c r="A7" s="6" t="s">
        <v>4</v>
      </c>
      <c r="B7" s="6" t="s">
        <v>5</v>
      </c>
      <c r="C7" s="6" t="s">
        <v>6</v>
      </c>
      <c r="D7" s="6" t="s">
        <v>7</v>
      </c>
      <c r="E7" s="6" t="s">
        <v>8</v>
      </c>
      <c r="F7" s="6" t="s">
        <v>9</v>
      </c>
      <c r="G7" s="6" t="s">
        <v>10</v>
      </c>
      <c r="H7" s="6" t="s">
        <v>11</v>
      </c>
    </row>
    <row r="8" customFormat="false" ht="15" hidden="false" customHeight="false" outlineLevel="0" collapsed="false">
      <c r="A8" s="7" t="s">
        <v>12</v>
      </c>
      <c r="B8" s="8" t="n">
        <f aca="false">Plans!$C$6</f>
        <v>0</v>
      </c>
      <c r="C8" s="8" t="n">
        <f aca="false">Plans!$C$7</f>
        <v>0</v>
      </c>
      <c r="D8" s="9" t="n">
        <f aca="false">Plans!$C$10</f>
        <v>50</v>
      </c>
      <c r="E8" s="9" t="n">
        <f aca="false">Plans!$C$11</f>
        <v>0</v>
      </c>
      <c r="F8" s="9" t="n">
        <f aca="false">Plans!$C$12</f>
        <v>0</v>
      </c>
      <c r="G8" s="10" t="n">
        <f aca="false">Plans!$C$54</f>
        <v>0.917783717644092</v>
      </c>
      <c r="H8" s="11" t="str">
        <f aca="false">IF(Plans!$C$6=0,"n/a",TEXT(Plans!$C$61,"0%")&amp;" / "&amp;TEXT(Plans!$C$63,"0%"))</f>
        <v>n/a</v>
      </c>
    </row>
    <row r="9" customFormat="false" ht="15" hidden="false" customHeight="false" outlineLevel="0" collapsed="false">
      <c r="A9" s="7" t="s">
        <v>13</v>
      </c>
      <c r="B9" s="8" t="n">
        <f aca="false">Plans!$D$6</f>
        <v>49</v>
      </c>
      <c r="C9" s="8" t="n">
        <f aca="false">Plans!$D$7</f>
        <v>40.8317</v>
      </c>
      <c r="D9" s="9" t="n">
        <f aca="false">Plans!$D$10</f>
        <v>2000</v>
      </c>
      <c r="E9" s="9" t="n">
        <f aca="false">Plans!$D$11</f>
        <v>4</v>
      </c>
      <c r="F9" s="9" t="n">
        <f aca="false">Plans!$D$12</f>
        <v>30</v>
      </c>
      <c r="G9" s="10" t="n">
        <f aca="false">Plans!$D$54</f>
        <v>11.9280078936952</v>
      </c>
      <c r="H9" s="11" t="str">
        <f aca="false">IF(Plans!$D$6=0,"n/a",TEXT(Plans!$D$61,"0%")&amp;" / "&amp;TEXT(Plans!$D$63,"0%"))</f>
        <v>67% / 43%</v>
      </c>
    </row>
    <row r="10" customFormat="false" ht="15" hidden="false" customHeight="false" outlineLevel="0" collapsed="false">
      <c r="A10" s="7" t="s">
        <v>14</v>
      </c>
      <c r="B10" s="8" t="n">
        <f aca="false">Plans!$E$6</f>
        <v>149</v>
      </c>
      <c r="C10" s="8" t="n">
        <f aca="false">Plans!$E$7</f>
        <v>124.1617</v>
      </c>
      <c r="D10" s="9" t="n">
        <f aca="false">Plans!$E$10</f>
        <v>6000</v>
      </c>
      <c r="E10" s="9" t="n">
        <f aca="false">Plans!$E$11</f>
        <v>12</v>
      </c>
      <c r="F10" s="9" t="n">
        <f aca="false">Plans!$E$12</f>
        <v>150</v>
      </c>
      <c r="G10" s="10" t="n">
        <f aca="false">Plans!$E$54</f>
        <v>37.4659902135736</v>
      </c>
      <c r="H10" s="11" t="str">
        <f aca="false">IF(Plans!$E$6=0,"n/a",TEXT(Plans!$E$61,"0%")&amp;" / "&amp;TEXT(Plans!$E$63,"0%"))</f>
        <v>67% / 44%</v>
      </c>
    </row>
    <row r="11" customFormat="false" ht="15" hidden="false" customHeight="false" outlineLevel="0" collapsed="false">
      <c r="A11" s="7" t="s">
        <v>15</v>
      </c>
      <c r="B11" s="8" t="n">
        <f aca="false">Plans!$F$6</f>
        <v>449</v>
      </c>
      <c r="C11" s="8" t="n">
        <f aca="false">Plans!$F$7</f>
        <v>374.1517</v>
      </c>
      <c r="D11" s="9" t="n">
        <f aca="false">Plans!$F$10</f>
        <v>18000</v>
      </c>
      <c r="E11" s="9" t="n">
        <f aca="false">Plans!$F$11</f>
        <v>40</v>
      </c>
      <c r="F11" s="9" t="n">
        <f aca="false">Plans!$F$12</f>
        <v>400</v>
      </c>
      <c r="G11" s="10" t="n">
        <f aca="false">Plans!$F$54</f>
        <v>115.942850248073</v>
      </c>
      <c r="H11" s="11" t="str">
        <f aca="false">IF(Plans!$F$6=0,"n/a",TEXT(Plans!$F$61,"0%")&amp;" / "&amp;TEXT(Plans!$F$63,"0%"))</f>
        <v>67% / 45%</v>
      </c>
    </row>
    <row r="12" customFormat="false" ht="15" hidden="false" customHeight="false" outlineLevel="0" collapsed="false">
      <c r="A12" s="7" t="s">
        <v>16</v>
      </c>
      <c r="B12" s="8" t="n">
        <f aca="false">Plans!$G$6</f>
        <v>1199</v>
      </c>
      <c r="C12" s="8" t="n">
        <f aca="false">Plans!$G$7</f>
        <v>999.1267</v>
      </c>
      <c r="D12" s="9" t="n">
        <f aca="false">Plans!$G$10</f>
        <v>50000</v>
      </c>
      <c r="E12" s="9" t="n">
        <f aca="false">Plans!$G$11</f>
        <v>100</v>
      </c>
      <c r="F12" s="9" t="n">
        <f aca="false">Plans!$G$12</f>
        <v>1200</v>
      </c>
      <c r="G12" s="10" t="n">
        <f aca="false">Plans!$G$54</f>
        <v>351.546968679834</v>
      </c>
      <c r="H12" s="11" t="str">
        <f aca="false">IF(Plans!$G$6=0,"n/a",TEXT(Plans!$G$61,"0%")&amp;" / "&amp;TEXT(Plans!$G$63,"0%"))</f>
        <v>63% / 42%</v>
      </c>
    </row>
    <row r="13" customFormat="false" ht="15" hidden="false" customHeight="false" outlineLevel="0" collapsed="false">
      <c r="A13" s="2"/>
      <c r="B13" s="2"/>
      <c r="C13" s="2"/>
      <c r="D13" s="2"/>
      <c r="E13" s="2"/>
      <c r="F13" s="2"/>
      <c r="G13" s="2"/>
      <c r="H13" s="2"/>
    </row>
    <row r="14" customFormat="false" ht="30" hidden="false" customHeight="true" outlineLevel="0" collapsed="false">
      <c r="A14" s="6" t="s">
        <v>17</v>
      </c>
      <c r="B14" s="6" t="s">
        <v>18</v>
      </c>
      <c r="C14" s="2"/>
      <c r="D14" s="2"/>
      <c r="E14" s="2"/>
      <c r="F14" s="2"/>
      <c r="G14" s="2"/>
      <c r="H14" s="2"/>
    </row>
    <row r="15" customFormat="false" ht="15" hidden="false" customHeight="false" outlineLevel="0" collapsed="false">
      <c r="A15" s="12" t="s">
        <v>19</v>
      </c>
      <c r="B15" s="13" t="n">
        <f aca="false">Inputs!$B$37</f>
        <v>0.00203415565868036</v>
      </c>
      <c r="C15" s="2"/>
      <c r="D15" s="2"/>
      <c r="E15" s="2"/>
      <c r="F15" s="2"/>
      <c r="G15" s="2"/>
      <c r="H15" s="2"/>
    </row>
    <row r="16" customFormat="false" ht="15" hidden="false" customHeight="false" outlineLevel="0" collapsed="false">
      <c r="A16" s="12" t="s">
        <v>20</v>
      </c>
      <c r="B16" s="14" t="n">
        <f aca="false">'Credit Menu'!$K$41</f>
        <v>0.796584434131964</v>
      </c>
      <c r="C16" s="2"/>
      <c r="D16" s="2"/>
      <c r="E16" s="2"/>
      <c r="F16" s="2"/>
      <c r="G16" s="2"/>
      <c r="H16" s="2"/>
    </row>
    <row r="17" customFormat="false" ht="15" hidden="false" customHeight="false" outlineLevel="0" collapsed="false">
      <c r="A17" s="12" t="s">
        <v>21</v>
      </c>
      <c r="B17" s="10" t="n">
        <f aca="false">'Video Credits'!$K$20</f>
        <v>0.808839083083333</v>
      </c>
      <c r="C17" s="2"/>
      <c r="D17" s="2"/>
      <c r="E17" s="2"/>
      <c r="F17" s="2"/>
      <c r="G17" s="2"/>
      <c r="H17" s="2"/>
    </row>
    <row r="18" customFormat="false" ht="15" hidden="false" customHeight="false" outlineLevel="0" collapsed="false">
      <c r="A18" s="12" t="s">
        <v>22</v>
      </c>
      <c r="B18" s="10" t="n">
        <f aca="false">'Video Credits'!$K$21</f>
        <v>0.391383333333333</v>
      </c>
      <c r="C18" s="2"/>
      <c r="D18" s="2"/>
      <c r="E18" s="2"/>
      <c r="F18" s="2"/>
      <c r="G18" s="2"/>
      <c r="H18" s="2"/>
    </row>
    <row r="19" customFormat="false" ht="15" hidden="false" customHeight="false" outlineLevel="0" collapsed="false">
      <c r="A19" s="12" t="s">
        <v>23</v>
      </c>
      <c r="B19" s="11" t="str">
        <f aca="false">TEXT('Unit Costs'!$AB$19,"$0.0000")&amp;" / "&amp;TEXT('Unit Costs'!$AB$20,"$0.0000")</f>
        <v>$0.0089 / $0.0482</v>
      </c>
      <c r="C19" s="2"/>
      <c r="D19" s="2"/>
      <c r="E19" s="2"/>
      <c r="F19" s="2"/>
      <c r="G19" s="2"/>
      <c r="H19" s="2"/>
    </row>
    <row r="20" customFormat="false" ht="15" hidden="false" customHeight="false" outlineLevel="0" collapsed="false">
      <c r="A20" s="12" t="s">
        <v>24</v>
      </c>
      <c r="B20" s="13" t="n">
        <f aca="false">'Unit Costs'!$AB$24</f>
        <v>0.234385407875</v>
      </c>
      <c r="C20" s="2"/>
      <c r="D20" s="2"/>
      <c r="E20" s="2"/>
      <c r="F20" s="2"/>
      <c r="G20" s="2"/>
      <c r="H20" s="2"/>
    </row>
    <row r="21" customFormat="false" ht="15" hidden="false" customHeight="false" outlineLevel="0" collapsed="false">
      <c r="A21" s="12" t="s">
        <v>25</v>
      </c>
      <c r="B21" s="13" t="n">
        <f aca="false">'Unit Costs'!$AB$31</f>
        <v>0.193155572125</v>
      </c>
      <c r="C21" s="2"/>
      <c r="D21" s="2"/>
      <c r="E21" s="2"/>
      <c r="F21" s="2"/>
      <c r="G21" s="2"/>
      <c r="H21" s="2"/>
    </row>
    <row r="22" customFormat="false" ht="15" hidden="false" customHeight="false" outlineLevel="0" collapsed="false">
      <c r="A22" s="12" t="s">
        <v>26</v>
      </c>
      <c r="B22" s="13" t="n">
        <f aca="false">'Unit Costs'!$AB$28</f>
        <v>0.06616241545</v>
      </c>
      <c r="C22" s="2"/>
      <c r="D22" s="2"/>
      <c r="E22" s="2"/>
      <c r="F22" s="2"/>
      <c r="G22" s="2"/>
      <c r="H22" s="2"/>
    </row>
    <row r="23" customFormat="false" ht="15" hidden="false" customHeight="false" outlineLevel="0" collapsed="false">
      <c r="A23" s="12" t="s">
        <v>27</v>
      </c>
      <c r="B23" s="13" t="n">
        <f aca="false">'Unit Costs'!$AB$50</f>
        <v>0.0159173125</v>
      </c>
      <c r="C23" s="2"/>
      <c r="D23" s="2"/>
      <c r="E23" s="2"/>
      <c r="F23" s="2"/>
      <c r="G23" s="2"/>
      <c r="H23" s="2"/>
    </row>
    <row r="24" customFormat="false" ht="15" hidden="false" customHeight="false" outlineLevel="0" collapsed="false">
      <c r="A24" s="12" t="s">
        <v>28</v>
      </c>
      <c r="B24" s="10" t="n">
        <f aca="false">'Video Credits'!F7</f>
        <v>0.844</v>
      </c>
      <c r="C24" s="2"/>
      <c r="D24" s="2"/>
      <c r="E24" s="2"/>
      <c r="F24" s="2"/>
      <c r="G24" s="2"/>
      <c r="H24" s="2"/>
    </row>
    <row r="25" customFormat="false" ht="15" hidden="false" customHeight="false" outlineLevel="0" collapsed="false">
      <c r="A25" s="12" t="s">
        <v>29</v>
      </c>
      <c r="B25" s="8" t="n">
        <f aca="false">'Fixed Costs'!$C$25</f>
        <v>284.466666666667</v>
      </c>
      <c r="C25" s="2"/>
      <c r="D25" s="2"/>
      <c r="E25" s="2"/>
      <c r="F25" s="2"/>
      <c r="G25" s="2"/>
      <c r="H25" s="2"/>
    </row>
    <row r="26" customFormat="false" ht="15" hidden="false" customHeight="false" outlineLevel="0" collapsed="false">
      <c r="A26" s="12" t="s">
        <v>30</v>
      </c>
      <c r="B26" s="15" t="n">
        <f aca="false">Projection!$B$55</f>
        <v>8</v>
      </c>
      <c r="C26" s="2"/>
      <c r="D26" s="2"/>
      <c r="E26" s="2"/>
      <c r="F26" s="2"/>
      <c r="G26" s="2"/>
      <c r="H26" s="2"/>
    </row>
    <row r="27" customFormat="false" ht="15" hidden="false" customHeight="false" outlineLevel="0" collapsed="false">
      <c r="A27" s="12" t="s">
        <v>31</v>
      </c>
      <c r="B27" s="11" t="str">
        <f aca="false">TEXT(Projection!$B$57,"$#,##0")&amp;" / "&amp;TEXT(Projection!$B$58,"$#,##0")</f>
        <v>$8,600 / $31,226</v>
      </c>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4" t="s">
        <v>32</v>
      </c>
      <c r="B29" s="2"/>
      <c r="C29" s="2"/>
      <c r="D29" s="2"/>
      <c r="E29" s="2"/>
      <c r="F29" s="2"/>
      <c r="G29" s="2"/>
      <c r="H29" s="2"/>
    </row>
    <row r="30" customFormat="false" ht="30" hidden="false" customHeight="true" outlineLevel="0" collapsed="false">
      <c r="A30" s="5" t="s">
        <v>33</v>
      </c>
      <c r="B30" s="5"/>
      <c r="C30" s="5"/>
      <c r="D30" s="5"/>
      <c r="E30" s="5"/>
      <c r="F30" s="5"/>
      <c r="G30" s="5"/>
      <c r="H30" s="5"/>
    </row>
    <row r="31" customFormat="false" ht="30" hidden="false" customHeight="true" outlineLevel="0" collapsed="false">
      <c r="A31" s="5" t="s">
        <v>34</v>
      </c>
      <c r="B31" s="5"/>
      <c r="C31" s="5"/>
      <c r="D31" s="5"/>
      <c r="E31" s="5"/>
      <c r="F31" s="5"/>
      <c r="G31" s="5"/>
      <c r="H31" s="5"/>
    </row>
    <row r="32" customFormat="false" ht="30" hidden="false" customHeight="true" outlineLevel="0" collapsed="false">
      <c r="A32" s="5" t="s">
        <v>35</v>
      </c>
      <c r="B32" s="5"/>
      <c r="C32" s="5"/>
      <c r="D32" s="5"/>
      <c r="E32" s="5"/>
      <c r="F32" s="5"/>
      <c r="G32" s="5"/>
      <c r="H32" s="5"/>
    </row>
    <row r="33" customFormat="false" ht="30" hidden="false" customHeight="true" outlineLevel="0" collapsed="false">
      <c r="A33" s="5" t="s">
        <v>36</v>
      </c>
      <c r="B33" s="5"/>
      <c r="C33" s="5"/>
      <c r="D33" s="5"/>
      <c r="E33" s="5"/>
      <c r="F33" s="5"/>
      <c r="G33" s="5"/>
      <c r="H33" s="5"/>
    </row>
    <row r="34" customFormat="false" ht="30" hidden="false" customHeight="true" outlineLevel="0" collapsed="false">
      <c r="A34" s="5" t="s">
        <v>37</v>
      </c>
      <c r="B34" s="5"/>
      <c r="C34" s="5"/>
      <c r="D34" s="5"/>
      <c r="E34" s="5"/>
      <c r="F34" s="5"/>
      <c r="G34" s="5"/>
      <c r="H34" s="5"/>
    </row>
    <row r="35" customFormat="false" ht="30" hidden="false" customHeight="true" outlineLevel="0" collapsed="false">
      <c r="A35" s="5" t="s">
        <v>38</v>
      </c>
      <c r="B35" s="5"/>
      <c r="C35" s="5"/>
      <c r="D35" s="5"/>
      <c r="E35" s="5"/>
      <c r="F35" s="5"/>
      <c r="G35" s="5"/>
      <c r="H35" s="5"/>
    </row>
  </sheetData>
  <mergeCells count="7">
    <mergeCell ref="A5:H5"/>
    <mergeCell ref="A30:H30"/>
    <mergeCell ref="A31:H31"/>
    <mergeCell ref="A32:H32"/>
    <mergeCell ref="A33:H33"/>
    <mergeCell ref="A34:H34"/>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 collapsed="false" customWidth="true" hidden="false" outlineLevel="0" max="3" min="3" style="0" width="70"/>
    <col collapsed="false" customWidth="true" hidden="false" outlineLevel="0" max="4" min="4" style="0" width="12"/>
  </cols>
  <sheetData>
    <row r="1" customFormat="false" ht="17.35" hidden="false" customHeight="false" outlineLevel="0" collapsed="false">
      <c r="A1" s="1" t="s">
        <v>39</v>
      </c>
      <c r="B1" s="2"/>
      <c r="C1" s="2"/>
      <c r="D1" s="2"/>
    </row>
    <row r="2" customFormat="false" ht="15" hidden="false" customHeight="false" outlineLevel="0" collapsed="false">
      <c r="A2" s="3" t="s">
        <v>40</v>
      </c>
      <c r="B2" s="2"/>
      <c r="C2" s="2"/>
      <c r="D2" s="2"/>
    </row>
    <row r="3" customFormat="false" ht="15" hidden="false" customHeight="false" outlineLevel="0" collapsed="false">
      <c r="A3" s="2"/>
      <c r="B3" s="2"/>
      <c r="C3" s="2"/>
      <c r="D3" s="2"/>
    </row>
    <row r="4" customFormat="false" ht="30" hidden="false" customHeight="true" outlineLevel="0" collapsed="false">
      <c r="A4" s="6" t="s">
        <v>41</v>
      </c>
      <c r="B4" s="6" t="s">
        <v>18</v>
      </c>
      <c r="C4" s="6" t="s">
        <v>42</v>
      </c>
      <c r="D4" s="2"/>
    </row>
    <row r="5" customFormat="false" ht="15" hidden="false" customHeight="false" outlineLevel="0" collapsed="false">
      <c r="A5" s="12" t="s">
        <v>43</v>
      </c>
      <c r="B5" s="16" t="n">
        <f aca="false">'Vendor Prices'!$G$58</f>
        <v>277.09</v>
      </c>
      <c r="C5" s="17"/>
      <c r="D5" s="2"/>
    </row>
    <row r="6" customFormat="false" ht="15" hidden="false" customHeight="false" outlineLevel="0" collapsed="false">
      <c r="A6" s="12" t="s">
        <v>44</v>
      </c>
      <c r="B6" s="18" t="n">
        <v>0.01</v>
      </c>
      <c r="C6" s="17" t="s">
        <v>45</v>
      </c>
      <c r="D6" s="2"/>
    </row>
    <row r="7" customFormat="false" ht="15" hidden="false" customHeight="false" outlineLevel="0" collapsed="false">
      <c r="A7" s="12" t="s">
        <v>46</v>
      </c>
      <c r="B7" s="14" t="n">
        <f aca="false">'Vendor Prices'!$G$53</f>
        <v>0.055</v>
      </c>
      <c r="C7" s="17" t="s">
        <v>47</v>
      </c>
      <c r="D7" s="2"/>
    </row>
    <row r="8" customFormat="false" ht="15" hidden="false" customHeight="false" outlineLevel="0" collapsed="false">
      <c r="A8" s="12" t="s">
        <v>48</v>
      </c>
      <c r="B8" s="19" t="n">
        <v>1.15</v>
      </c>
      <c r="C8" s="17" t="s">
        <v>49</v>
      </c>
      <c r="D8" s="2"/>
    </row>
    <row r="9" customFormat="false" ht="15" hidden="false" customHeight="false" outlineLevel="0" collapsed="false">
      <c r="A9" s="12" t="s">
        <v>50</v>
      </c>
      <c r="B9" s="20" t="s">
        <v>51</v>
      </c>
      <c r="C9" s="17" t="s">
        <v>52</v>
      </c>
      <c r="D9" s="2"/>
    </row>
    <row r="10" customFormat="false" ht="15" hidden="false" customHeight="false" outlineLevel="0" collapsed="false">
      <c r="A10" s="12" t="s">
        <v>53</v>
      </c>
      <c r="B10" s="20" t="s">
        <v>54</v>
      </c>
      <c r="C10" s="17" t="s">
        <v>55</v>
      </c>
      <c r="D10" s="2"/>
    </row>
    <row r="11" customFormat="false" ht="15" hidden="false" customHeight="false" outlineLevel="0" collapsed="false">
      <c r="A11" s="12" t="s">
        <v>56</v>
      </c>
      <c r="B11" s="20" t="s">
        <v>57</v>
      </c>
      <c r="C11" s="17" t="s">
        <v>58</v>
      </c>
      <c r="D11" s="2"/>
    </row>
    <row r="12" customFormat="false" ht="15" hidden="false" customHeight="false" outlineLevel="0" collapsed="false">
      <c r="A12" s="12" t="s">
        <v>59</v>
      </c>
      <c r="B12" s="21" t="s">
        <v>54</v>
      </c>
      <c r="C12" s="17" t="s">
        <v>60</v>
      </c>
      <c r="D12" s="2"/>
    </row>
    <row r="13" customFormat="false" ht="15" hidden="false" customHeight="false" outlineLevel="0" collapsed="false">
      <c r="A13" s="12" t="s">
        <v>61</v>
      </c>
      <c r="B13" s="21" t="s">
        <v>62</v>
      </c>
      <c r="C13" s="17"/>
      <c r="D13" s="2"/>
    </row>
    <row r="14" customFormat="false" ht="15" hidden="false" customHeight="false" outlineLevel="0" collapsed="false">
      <c r="A14" s="12" t="s">
        <v>63</v>
      </c>
      <c r="B14" s="21" t="s">
        <v>64</v>
      </c>
      <c r="C14" s="17"/>
      <c r="D14" s="2"/>
    </row>
    <row r="15" customFormat="false" ht="15" hidden="false" customHeight="false" outlineLevel="0" collapsed="false">
      <c r="A15" s="12" t="s">
        <v>65</v>
      </c>
      <c r="B15" s="22" t="n">
        <v>0.03</v>
      </c>
      <c r="C15" s="17" t="s">
        <v>66</v>
      </c>
      <c r="D15" s="2"/>
    </row>
    <row r="16" customFormat="false" ht="15" hidden="false" customHeight="false" outlineLevel="0" collapsed="false">
      <c r="A16" s="12" t="s">
        <v>67</v>
      </c>
      <c r="B16" s="14" t="n">
        <f aca="false">'Vendor Prices'!$G$54</f>
        <v>0.05</v>
      </c>
      <c r="C16" s="17"/>
      <c r="D16" s="2"/>
    </row>
    <row r="17" customFormat="false" ht="15" hidden="false" customHeight="false" outlineLevel="0" collapsed="false">
      <c r="A17" s="12" t="s">
        <v>68</v>
      </c>
      <c r="B17" s="10" t="n">
        <f aca="false">'Vendor Prices'!$G$55</f>
        <v>0.5</v>
      </c>
      <c r="C17" s="17"/>
      <c r="D17" s="2"/>
    </row>
    <row r="18" customFormat="false" ht="15" hidden="false" customHeight="false" outlineLevel="0" collapsed="false">
      <c r="A18" s="12" t="s">
        <v>69</v>
      </c>
      <c r="B18" s="14" t="n">
        <f aca="false">'Vendor Prices'!$G$56</f>
        <v>0.02</v>
      </c>
      <c r="C18" s="17"/>
      <c r="D18" s="2"/>
    </row>
    <row r="19" customFormat="false" ht="15" hidden="false" customHeight="false" outlineLevel="0" collapsed="false">
      <c r="A19" s="12" t="s">
        <v>70</v>
      </c>
      <c r="B19" s="23" t="n">
        <f aca="false">'Vendor Prices'!$G$57</f>
        <v>0.0025</v>
      </c>
      <c r="C19" s="17"/>
      <c r="D19" s="2"/>
    </row>
    <row r="20" customFormat="false" ht="15" hidden="false" customHeight="false" outlineLevel="0" collapsed="false">
      <c r="A20" s="12" t="s">
        <v>71</v>
      </c>
      <c r="B20" s="19" t="n">
        <v>1.3</v>
      </c>
      <c r="C20" s="17" t="s">
        <v>72</v>
      </c>
      <c r="D20" s="2"/>
    </row>
    <row r="21" customFormat="false" ht="15" hidden="false" customHeight="false" outlineLevel="0" collapsed="false">
      <c r="A21" s="12" t="s">
        <v>73</v>
      </c>
      <c r="B21" s="22" t="n">
        <v>0.5</v>
      </c>
      <c r="C21" s="17"/>
      <c r="D21" s="2"/>
    </row>
    <row r="22" customFormat="false" ht="15" hidden="false" customHeight="false" outlineLevel="0" collapsed="false">
      <c r="A22" s="12" t="s">
        <v>74</v>
      </c>
      <c r="B22" s="22" t="n">
        <v>0.6</v>
      </c>
      <c r="C22" s="17" t="s">
        <v>75</v>
      </c>
      <c r="D22" s="2"/>
    </row>
    <row r="23" customFormat="false" ht="15" hidden="false" customHeight="false" outlineLevel="0" collapsed="false">
      <c r="A23" s="12" t="s">
        <v>76</v>
      </c>
      <c r="B23" s="24" t="n">
        <v>0.4</v>
      </c>
      <c r="C23" s="17"/>
      <c r="D23" s="2"/>
    </row>
    <row r="24" customFormat="false" ht="15" hidden="false" customHeight="false" outlineLevel="0" collapsed="false">
      <c r="A24" s="12" t="s">
        <v>77</v>
      </c>
      <c r="B24" s="25" t="n">
        <v>4.33</v>
      </c>
      <c r="C24" s="17"/>
      <c r="D24" s="2"/>
    </row>
    <row r="25" customFormat="false" ht="15" hidden="false" customHeight="false" outlineLevel="0" collapsed="false">
      <c r="A25" s="12" t="s">
        <v>78</v>
      </c>
      <c r="B25" s="26" t="n">
        <v>30</v>
      </c>
      <c r="C25" s="17"/>
      <c r="D25" s="2"/>
    </row>
    <row r="26" customFormat="false" ht="15" hidden="false" customHeight="false" outlineLevel="0" collapsed="false">
      <c r="A26" s="12" t="s">
        <v>79</v>
      </c>
      <c r="B26" s="27" t="n">
        <f aca="false">INDEX('Vendor Prices'!$G$5:$G$58,MATCH("postforme-starter",'Vendor Prices'!$A$5:$A$58,0))/INDEX('Vendor Prices'!$F$5:$F$58,MATCH("postforme-starter",'Vendor Prices'!$A$5:$A$58,0))</f>
        <v>0.01</v>
      </c>
      <c r="C26" s="17" t="s">
        <v>80</v>
      </c>
      <c r="D26" s="2"/>
    </row>
    <row r="27" customFormat="false" ht="15" hidden="false" customHeight="false" outlineLevel="0" collapsed="false">
      <c r="A27" s="12" t="s">
        <v>81</v>
      </c>
      <c r="B27" s="24" t="n">
        <v>0.05</v>
      </c>
      <c r="C27" s="17" t="s">
        <v>82</v>
      </c>
      <c r="D27" s="2"/>
    </row>
    <row r="28" customFormat="false" ht="15" hidden="false" customHeight="false" outlineLevel="0" collapsed="false">
      <c r="A28" s="12" t="s">
        <v>83</v>
      </c>
      <c r="B28" s="13" t="n">
        <f aca="false">'Vendor Prices'!$G$47</f>
        <v>0.0003</v>
      </c>
      <c r="C28" s="17"/>
      <c r="D28" s="2"/>
    </row>
    <row r="29" customFormat="false" ht="15" hidden="false" customHeight="false" outlineLevel="0" collapsed="false">
      <c r="A29" s="12" t="s">
        <v>84</v>
      </c>
      <c r="B29" s="13" t="n">
        <f aca="false">'Vendor Prices'!$G$37</f>
        <v>0.008</v>
      </c>
      <c r="C29" s="17"/>
      <c r="D29" s="2"/>
    </row>
    <row r="30" customFormat="false" ht="23.85" hidden="false" customHeight="false" outlineLevel="0" collapsed="false">
      <c r="A30" s="12" t="s">
        <v>85</v>
      </c>
      <c r="B30" s="20" t="s">
        <v>86</v>
      </c>
      <c r="C30" s="17" t="s">
        <v>87</v>
      </c>
      <c r="D30" s="2"/>
    </row>
    <row r="31" customFormat="false" ht="15" hidden="false" customHeight="false" outlineLevel="0" collapsed="false">
      <c r="A31" s="12" t="s">
        <v>88</v>
      </c>
      <c r="B31" s="24" t="n">
        <v>0.1667</v>
      </c>
      <c r="C31" s="17" t="s">
        <v>89</v>
      </c>
      <c r="D31" s="2"/>
    </row>
    <row r="32" customFormat="false" ht="15" hidden="false" customHeight="false" outlineLevel="0" collapsed="false">
      <c r="A32" s="12" t="s">
        <v>90</v>
      </c>
      <c r="B32" s="24" t="n">
        <v>0.3</v>
      </c>
      <c r="C32" s="17"/>
      <c r="D32" s="2"/>
    </row>
    <row r="33" customFormat="false" ht="15" hidden="false" customHeight="false" outlineLevel="0" collapsed="false">
      <c r="A33" s="12" t="s">
        <v>91</v>
      </c>
      <c r="B33" s="24" t="n">
        <v>0.8</v>
      </c>
      <c r="C33" s="17"/>
      <c r="D33" s="2"/>
    </row>
    <row r="34" customFormat="false" ht="15" hidden="false" customHeight="false" outlineLevel="0" collapsed="false">
      <c r="A34" s="12" t="s">
        <v>92</v>
      </c>
      <c r="B34" s="24" t="n">
        <v>0.75</v>
      </c>
      <c r="C34" s="17"/>
      <c r="D34" s="2"/>
    </row>
    <row r="35" customFormat="false" ht="15" hidden="false" customHeight="false" outlineLevel="0" collapsed="false">
      <c r="A35" s="12" t="s">
        <v>93</v>
      </c>
      <c r="B35" s="24" t="n">
        <v>0.6</v>
      </c>
      <c r="C35" s="17" t="s">
        <v>94</v>
      </c>
      <c r="D35" s="2"/>
    </row>
    <row r="36" customFormat="false" ht="15" hidden="false" customHeight="false" outlineLevel="0" collapsed="false">
      <c r="A36" s="12" t="s">
        <v>95</v>
      </c>
      <c r="B36" s="19" t="n">
        <v>1.75</v>
      </c>
      <c r="C36" s="17"/>
      <c r="D36" s="2"/>
    </row>
    <row r="37" customFormat="false" ht="15" hidden="false" customHeight="false" outlineLevel="0" collapsed="false">
      <c r="A37" s="12" t="s">
        <v>96</v>
      </c>
      <c r="B37" s="13" t="n">
        <f aca="false">'Credit Menu'!$K$40</f>
        <v>0.00203415565868036</v>
      </c>
      <c r="C37" s="17" t="s">
        <v>97</v>
      </c>
      <c r="D37" s="2"/>
    </row>
    <row r="38" customFormat="false" ht="15" hidden="false" customHeight="false" outlineLevel="0" collapsed="false">
      <c r="A38" s="12" t="s">
        <v>98</v>
      </c>
      <c r="B38" s="13" t="n">
        <f aca="false">'Video Credits'!$K$19</f>
        <v>0.446146183083333</v>
      </c>
      <c r="C38" s="17" t="s">
        <v>99</v>
      </c>
      <c r="D38" s="2"/>
    </row>
    <row r="39" customFormat="false" ht="15" hidden="false" customHeight="false" outlineLevel="0" collapsed="false">
      <c r="A39" s="2"/>
      <c r="B39" s="2"/>
      <c r="C39" s="2"/>
      <c r="D39" s="2"/>
    </row>
    <row r="40" customFormat="false" ht="15" hidden="false" customHeight="false" outlineLevel="0" collapsed="false">
      <c r="A40" s="4" t="s">
        <v>100</v>
      </c>
      <c r="B40" s="2"/>
      <c r="C40" s="2"/>
      <c r="D40" s="2"/>
    </row>
    <row r="41" customFormat="false" ht="30" hidden="false" customHeight="true" outlineLevel="0" collapsed="false">
      <c r="A41" s="6" t="s">
        <v>101</v>
      </c>
      <c r="B41" s="6" t="s">
        <v>102</v>
      </c>
      <c r="C41" s="6" t="s">
        <v>103</v>
      </c>
      <c r="D41" s="6" t="s">
        <v>104</v>
      </c>
    </row>
    <row r="42" customFormat="false" ht="15" hidden="false" customHeight="false" outlineLevel="0" collapsed="false">
      <c r="A42" s="4" t="s">
        <v>105</v>
      </c>
      <c r="B42" s="28" t="n">
        <v>800</v>
      </c>
      <c r="C42" s="28" t="n">
        <v>3000</v>
      </c>
      <c r="D42" s="28" t="n">
        <v>8000</v>
      </c>
    </row>
    <row r="43" customFormat="false" ht="15" hidden="false" customHeight="false" outlineLevel="0" collapsed="false">
      <c r="A43" s="4" t="s">
        <v>106</v>
      </c>
      <c r="B43" s="28" t="n">
        <v>500</v>
      </c>
      <c r="C43" s="28" t="n">
        <v>1800</v>
      </c>
      <c r="D43" s="28" t="n">
        <v>4000</v>
      </c>
    </row>
    <row r="44" customFormat="false" ht="15" hidden="false" customHeight="false" outlineLevel="0" collapsed="false">
      <c r="A44" s="4" t="s">
        <v>107</v>
      </c>
      <c r="B44" s="28" t="n">
        <v>200</v>
      </c>
      <c r="C44" s="28" t="n">
        <v>800</v>
      </c>
      <c r="D44" s="28" t="n">
        <v>1500</v>
      </c>
    </row>
    <row r="45" customFormat="false" ht="15" hidden="false" customHeight="false" outlineLevel="0" collapsed="false">
      <c r="A45" s="3" t="s">
        <v>108</v>
      </c>
      <c r="B45" s="2"/>
      <c r="C45" s="2"/>
      <c r="D45" s="2"/>
    </row>
  </sheetData>
  <dataValidations count="1">
    <dataValidation allowBlank="false" errorStyle="stop" operator="between" showDropDown="false" showErrorMessage="false" showInputMessage="false" sqref="B30" type="list">
      <formula1>"split,openrouter,kie"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7" min="3" style="0" width="12"/>
    <col collapsed="false" customWidth="true" hidden="false" outlineLevel="0" max="8" min="8" style="0" width="52"/>
  </cols>
  <sheetData>
    <row r="1" customFormat="false" ht="17.35" hidden="false" customHeight="false" outlineLevel="0" collapsed="false">
      <c r="A1" s="1" t="s">
        <v>109</v>
      </c>
      <c r="B1" s="2"/>
      <c r="C1" s="2"/>
      <c r="D1" s="2"/>
      <c r="E1" s="2"/>
      <c r="F1" s="2"/>
      <c r="G1" s="2"/>
      <c r="H1" s="2"/>
    </row>
    <row r="2" customFormat="false" ht="15" hidden="false" customHeight="false" outlineLevel="0" collapsed="false">
      <c r="A2" s="3" t="s">
        <v>110</v>
      </c>
      <c r="B2" s="2"/>
      <c r="C2" s="2"/>
      <c r="D2" s="2"/>
      <c r="E2" s="2"/>
      <c r="F2" s="2"/>
      <c r="G2" s="2"/>
      <c r="H2" s="2"/>
    </row>
    <row r="3" customFormat="false" ht="15" hidden="false" customHeight="false" outlineLevel="0" collapsed="false">
      <c r="A3" s="2"/>
      <c r="B3" s="2"/>
      <c r="C3" s="2"/>
      <c r="D3" s="2"/>
      <c r="E3" s="2"/>
      <c r="F3" s="2"/>
      <c r="G3" s="2"/>
      <c r="H3" s="2"/>
    </row>
    <row r="4" customFormat="false" ht="30" hidden="false" customHeight="true" outlineLevel="0" collapsed="false">
      <c r="A4" s="6" t="s">
        <v>111</v>
      </c>
      <c r="B4" s="6" t="s">
        <v>112</v>
      </c>
      <c r="C4" s="6" t="s">
        <v>12</v>
      </c>
      <c r="D4" s="6" t="s">
        <v>13</v>
      </c>
      <c r="E4" s="6" t="s">
        <v>14</v>
      </c>
      <c r="F4" s="6" t="s">
        <v>15</v>
      </c>
      <c r="G4" s="6" t="s">
        <v>16</v>
      </c>
      <c r="H4" s="6" t="s">
        <v>113</v>
      </c>
    </row>
    <row r="5" customFormat="false" ht="15" hidden="false" customHeight="false" outlineLevel="0" collapsed="false">
      <c r="A5" s="29" t="s">
        <v>114</v>
      </c>
      <c r="B5" s="30"/>
      <c r="C5" s="30"/>
      <c r="D5" s="30"/>
      <c r="E5" s="30"/>
      <c r="F5" s="30"/>
      <c r="G5" s="30"/>
      <c r="H5" s="30"/>
    </row>
    <row r="6" customFormat="false" ht="15" hidden="false" customHeight="false" outlineLevel="0" collapsed="false">
      <c r="A6" s="12" t="s">
        <v>115</v>
      </c>
      <c r="B6" s="31" t="s">
        <v>116</v>
      </c>
      <c r="C6" s="32" t="n">
        <v>0</v>
      </c>
      <c r="D6" s="32" t="n">
        <v>49</v>
      </c>
      <c r="E6" s="32" t="n">
        <v>149</v>
      </c>
      <c r="F6" s="32" t="n">
        <v>449</v>
      </c>
      <c r="G6" s="32" t="n">
        <v>1199</v>
      </c>
      <c r="H6" s="31" t="s">
        <v>117</v>
      </c>
    </row>
    <row r="7" customFormat="false" ht="15" hidden="false" customHeight="false" outlineLevel="0" collapsed="false">
      <c r="A7" s="12" t="s">
        <v>118</v>
      </c>
      <c r="B7" s="31" t="s">
        <v>116</v>
      </c>
      <c r="C7" s="33" t="n">
        <f aca="false">C6*(1-Inputs!$B$31)</f>
        <v>0</v>
      </c>
      <c r="D7" s="33" t="n">
        <f aca="false">D6*(1-Inputs!$B$31)</f>
        <v>40.8317</v>
      </c>
      <c r="E7" s="33" t="n">
        <f aca="false">E6*(1-Inputs!$B$31)</f>
        <v>124.1617</v>
      </c>
      <c r="F7" s="33" t="n">
        <f aca="false">F6*(1-Inputs!$B$31)</f>
        <v>374.1517</v>
      </c>
      <c r="G7" s="33" t="n">
        <f aca="false">G6*(1-Inputs!$B$31)</f>
        <v>999.1267</v>
      </c>
      <c r="H7" s="31"/>
    </row>
    <row r="8" customFormat="false" ht="15" hidden="false" customHeight="false" outlineLevel="0" collapsed="false">
      <c r="A8" s="12" t="s">
        <v>119</v>
      </c>
      <c r="B8" s="31" t="s">
        <v>120</v>
      </c>
      <c r="C8" s="34" t="n">
        <v>1</v>
      </c>
      <c r="D8" s="34" t="n">
        <v>1</v>
      </c>
      <c r="E8" s="34" t="n">
        <v>3</v>
      </c>
      <c r="F8" s="34" t="n">
        <v>10</v>
      </c>
      <c r="G8" s="34" t="n">
        <v>30</v>
      </c>
      <c r="H8" s="31" t="s">
        <v>121</v>
      </c>
    </row>
    <row r="9" customFormat="false" ht="15" hidden="false" customHeight="false" outlineLevel="0" collapsed="false">
      <c r="A9" s="12" t="s">
        <v>122</v>
      </c>
      <c r="B9" s="31" t="s">
        <v>123</v>
      </c>
      <c r="C9" s="34" t="n">
        <v>1</v>
      </c>
      <c r="D9" s="34" t="n">
        <v>2</v>
      </c>
      <c r="E9" s="34" t="n">
        <v>5</v>
      </c>
      <c r="F9" s="34" t="n">
        <v>9999</v>
      </c>
      <c r="G9" s="34" t="n">
        <v>9999</v>
      </c>
      <c r="H9" s="31" t="s">
        <v>124</v>
      </c>
    </row>
    <row r="10" customFormat="false" ht="15" hidden="false" customHeight="false" outlineLevel="0" collapsed="false">
      <c r="A10" s="12" t="s">
        <v>125</v>
      </c>
      <c r="B10" s="31" t="s">
        <v>126</v>
      </c>
      <c r="C10" s="35" t="n">
        <v>50</v>
      </c>
      <c r="D10" s="35" t="n">
        <v>2000</v>
      </c>
      <c r="E10" s="35" t="n">
        <v>6000</v>
      </c>
      <c r="F10" s="35" t="n">
        <v>18000</v>
      </c>
      <c r="G10" s="35" t="n">
        <v>50000</v>
      </c>
      <c r="H10" s="31" t="s">
        <v>127</v>
      </c>
    </row>
    <row r="11" customFormat="false" ht="15" hidden="false" customHeight="false" outlineLevel="0" collapsed="false">
      <c r="A11" s="12" t="s">
        <v>128</v>
      </c>
      <c r="B11" s="31" t="s">
        <v>129</v>
      </c>
      <c r="C11" s="36" t="n">
        <v>0</v>
      </c>
      <c r="D11" s="36" t="n">
        <v>4</v>
      </c>
      <c r="E11" s="36" t="n">
        <v>12</v>
      </c>
      <c r="F11" s="36" t="n">
        <v>40</v>
      </c>
      <c r="G11" s="36" t="n">
        <v>100</v>
      </c>
      <c r="H11" s="31" t="s">
        <v>130</v>
      </c>
    </row>
    <row r="12" customFormat="false" ht="15" hidden="false" customHeight="false" outlineLevel="0" collapsed="false">
      <c r="A12" s="12" t="s">
        <v>131</v>
      </c>
      <c r="B12" s="31" t="s">
        <v>132</v>
      </c>
      <c r="C12" s="35" t="n">
        <v>0</v>
      </c>
      <c r="D12" s="35" t="n">
        <v>30</v>
      </c>
      <c r="E12" s="35" t="n">
        <v>150</v>
      </c>
      <c r="F12" s="35" t="n">
        <v>400</v>
      </c>
      <c r="G12" s="35" t="n">
        <v>1200</v>
      </c>
      <c r="H12" s="31" t="s">
        <v>133</v>
      </c>
    </row>
    <row r="13" customFormat="false" ht="15" hidden="false" customHeight="false" outlineLevel="0" collapsed="false">
      <c r="A13" s="12" t="s">
        <v>134</v>
      </c>
      <c r="B13" s="31" t="s">
        <v>132</v>
      </c>
      <c r="C13" s="34" t="n">
        <v>30</v>
      </c>
      <c r="D13" s="34" t="n">
        <v>800</v>
      </c>
      <c r="E13" s="34" t="n">
        <v>2000</v>
      </c>
      <c r="F13" s="34" t="n">
        <v>5000</v>
      </c>
      <c r="G13" s="34" t="n">
        <v>12000</v>
      </c>
      <c r="H13" s="31" t="s">
        <v>135</v>
      </c>
    </row>
    <row r="14" customFormat="false" ht="15" hidden="false" customHeight="false" outlineLevel="0" collapsed="false">
      <c r="A14" s="12" t="s">
        <v>136</v>
      </c>
      <c r="B14" s="31" t="s">
        <v>132</v>
      </c>
      <c r="C14" s="34" t="n">
        <v>20</v>
      </c>
      <c r="D14" s="34" t="n">
        <v>250</v>
      </c>
      <c r="E14" s="34" t="n">
        <v>700</v>
      </c>
      <c r="F14" s="34" t="n">
        <v>2000</v>
      </c>
      <c r="G14" s="34" t="n">
        <v>6000</v>
      </c>
      <c r="H14" s="31"/>
    </row>
    <row r="15" customFormat="false" ht="15" hidden="false" customHeight="false" outlineLevel="0" collapsed="false">
      <c r="A15" s="12" t="s">
        <v>137</v>
      </c>
      <c r="B15" s="31" t="s">
        <v>138</v>
      </c>
      <c r="C15" s="35" t="n">
        <v>5</v>
      </c>
      <c r="D15" s="35" t="n">
        <v>25</v>
      </c>
      <c r="E15" s="35" t="n">
        <v>100</v>
      </c>
      <c r="F15" s="35" t="n">
        <v>300</v>
      </c>
      <c r="G15" s="35" t="n">
        <v>1000</v>
      </c>
      <c r="H15" s="31" t="s">
        <v>139</v>
      </c>
    </row>
    <row r="16" customFormat="false" ht="15" hidden="false" customHeight="false" outlineLevel="0" collapsed="false">
      <c r="A16" s="12" t="s">
        <v>140</v>
      </c>
      <c r="B16" s="31" t="s">
        <v>141</v>
      </c>
      <c r="C16" s="34" t="n">
        <v>0</v>
      </c>
      <c r="D16" s="34" t="n">
        <v>1</v>
      </c>
      <c r="E16" s="34" t="n">
        <v>1</v>
      </c>
      <c r="F16" s="34" t="n">
        <v>1</v>
      </c>
      <c r="G16" s="34" t="n">
        <v>1</v>
      </c>
      <c r="H16" s="31"/>
    </row>
    <row r="17" customFormat="false" ht="15" hidden="false" customHeight="false" outlineLevel="0" collapsed="false">
      <c r="A17" s="12" t="s">
        <v>142</v>
      </c>
      <c r="B17" s="31" t="s">
        <v>141</v>
      </c>
      <c r="C17" s="34" t="n">
        <v>1</v>
      </c>
      <c r="D17" s="34" t="n">
        <v>1</v>
      </c>
      <c r="E17" s="34" t="n">
        <v>1</v>
      </c>
      <c r="F17" s="34" t="n">
        <v>1</v>
      </c>
      <c r="G17" s="34" t="n">
        <v>1</v>
      </c>
      <c r="H17" s="31" t="s">
        <v>143</v>
      </c>
    </row>
    <row r="18" customFormat="false" ht="15" hidden="false" customHeight="false" outlineLevel="0" collapsed="false">
      <c r="A18" s="12" t="s">
        <v>144</v>
      </c>
      <c r="B18" s="31" t="s">
        <v>141</v>
      </c>
      <c r="C18" s="34" t="n">
        <v>1</v>
      </c>
      <c r="D18" s="34" t="n">
        <v>1</v>
      </c>
      <c r="E18" s="34" t="n">
        <v>1</v>
      </c>
      <c r="F18" s="34" t="n">
        <v>1</v>
      </c>
      <c r="G18" s="34" t="n">
        <v>1</v>
      </c>
      <c r="H18" s="31" t="s">
        <v>143</v>
      </c>
    </row>
    <row r="19" customFormat="false" ht="15" hidden="false" customHeight="false" outlineLevel="0" collapsed="false">
      <c r="A19" s="12" t="s">
        <v>145</v>
      </c>
      <c r="B19" s="31" t="s">
        <v>141</v>
      </c>
      <c r="C19" s="34" t="n">
        <v>0</v>
      </c>
      <c r="D19" s="34" t="n">
        <v>0</v>
      </c>
      <c r="E19" s="34" t="n">
        <v>0</v>
      </c>
      <c r="F19" s="34" t="n">
        <v>0</v>
      </c>
      <c r="G19" s="34" t="n">
        <v>0</v>
      </c>
      <c r="H19" s="31" t="s">
        <v>146</v>
      </c>
    </row>
    <row r="20" customFormat="false" ht="15" hidden="false" customHeight="false" outlineLevel="0" collapsed="false">
      <c r="A20" s="12" t="s">
        <v>147</v>
      </c>
      <c r="B20" s="31" t="s">
        <v>148</v>
      </c>
      <c r="C20" s="37" t="n">
        <f aca="false">Inputs!$B$24</f>
        <v>4.33</v>
      </c>
      <c r="D20" s="37" t="n">
        <f aca="false">Inputs!$B$24</f>
        <v>4.33</v>
      </c>
      <c r="E20" s="37" t="n">
        <f aca="false">Inputs!$B$24</f>
        <v>4.33</v>
      </c>
      <c r="F20" s="37" t="n">
        <f aca="false">Inputs!$B$24</f>
        <v>4.33</v>
      </c>
      <c r="G20" s="37" t="n">
        <f aca="false">Inputs!$B$24</f>
        <v>4.33</v>
      </c>
      <c r="H20" s="31" t="s">
        <v>149</v>
      </c>
    </row>
    <row r="21" customFormat="false" ht="15" hidden="false" customHeight="false" outlineLevel="0" collapsed="false">
      <c r="A21" s="12" t="s">
        <v>150</v>
      </c>
      <c r="B21" s="31" t="s">
        <v>148</v>
      </c>
      <c r="C21" s="34" t="n">
        <v>1</v>
      </c>
      <c r="D21" s="34" t="n">
        <v>4</v>
      </c>
      <c r="E21" s="34" t="n">
        <v>10</v>
      </c>
      <c r="F21" s="34" t="n">
        <v>30</v>
      </c>
      <c r="G21" s="34" t="n">
        <v>90</v>
      </c>
      <c r="H21" s="31"/>
    </row>
    <row r="22" customFormat="false" ht="15" hidden="false" customHeight="false" outlineLevel="0" collapsed="false">
      <c r="A22" s="12" t="s">
        <v>151</v>
      </c>
      <c r="B22" s="31" t="s">
        <v>152</v>
      </c>
      <c r="C22" s="34" t="n">
        <v>25</v>
      </c>
      <c r="D22" s="34" t="n">
        <v>50</v>
      </c>
      <c r="E22" s="34" t="n">
        <v>150</v>
      </c>
      <c r="F22" s="34" t="n">
        <v>300</v>
      </c>
      <c r="G22" s="34" t="n">
        <v>500</v>
      </c>
      <c r="H22" s="31"/>
    </row>
    <row r="23" customFormat="false" ht="15" hidden="false" customHeight="false" outlineLevel="0" collapsed="false">
      <c r="A23" s="12" t="s">
        <v>153</v>
      </c>
      <c r="B23" s="31" t="s">
        <v>120</v>
      </c>
      <c r="C23" s="34" t="n">
        <v>0</v>
      </c>
      <c r="D23" s="34" t="n">
        <v>3</v>
      </c>
      <c r="E23" s="34" t="n">
        <v>10</v>
      </c>
      <c r="F23" s="34" t="n">
        <v>30</v>
      </c>
      <c r="G23" s="34" t="n">
        <v>90</v>
      </c>
      <c r="H23" s="31"/>
    </row>
    <row r="24" customFormat="false" ht="15" hidden="false" customHeight="false" outlineLevel="0" collapsed="false">
      <c r="A24" s="12" t="s">
        <v>154</v>
      </c>
      <c r="B24" s="31" t="s">
        <v>148</v>
      </c>
      <c r="C24" s="38" t="n">
        <v>0</v>
      </c>
      <c r="D24" s="38" t="n">
        <v>4.33</v>
      </c>
      <c r="E24" s="38" t="n">
        <v>8</v>
      </c>
      <c r="F24" s="38" t="n">
        <v>8</v>
      </c>
      <c r="G24" s="38" t="n">
        <v>8</v>
      </c>
      <c r="H24" s="31" t="s">
        <v>155</v>
      </c>
    </row>
    <row r="25" customFormat="false" ht="15" hidden="false" customHeight="false" outlineLevel="0" collapsed="false">
      <c r="A25" s="12" t="s">
        <v>156</v>
      </c>
      <c r="B25" s="31" t="s">
        <v>120</v>
      </c>
      <c r="C25" s="34" t="n">
        <v>0</v>
      </c>
      <c r="D25" s="34" t="n">
        <v>1</v>
      </c>
      <c r="E25" s="34" t="n">
        <v>3</v>
      </c>
      <c r="F25" s="34" t="n">
        <v>10</v>
      </c>
      <c r="G25" s="34" t="n">
        <v>30</v>
      </c>
      <c r="H25" s="31" t="s">
        <v>157</v>
      </c>
    </row>
    <row r="26" customFormat="false" ht="15" hidden="false" customHeight="false" outlineLevel="0" collapsed="false">
      <c r="A26" s="12" t="s">
        <v>158</v>
      </c>
      <c r="B26" s="31" t="s">
        <v>120</v>
      </c>
      <c r="C26" s="34" t="n">
        <v>0</v>
      </c>
      <c r="D26" s="34" t="n">
        <v>0</v>
      </c>
      <c r="E26" s="34" t="n">
        <v>0</v>
      </c>
      <c r="F26" s="34" t="n">
        <v>0</v>
      </c>
      <c r="G26" s="34" t="n">
        <v>0</v>
      </c>
      <c r="H26" s="31" t="s">
        <v>159</v>
      </c>
    </row>
    <row r="27" customFormat="false" ht="15" hidden="false" customHeight="false" outlineLevel="0" collapsed="false">
      <c r="A27" s="12" t="s">
        <v>160</v>
      </c>
      <c r="B27" s="31" t="s">
        <v>120</v>
      </c>
      <c r="C27" s="34" t="n">
        <v>0</v>
      </c>
      <c r="D27" s="34" t="n">
        <v>1</v>
      </c>
      <c r="E27" s="34" t="n">
        <v>1</v>
      </c>
      <c r="F27" s="34" t="n">
        <v>3</v>
      </c>
      <c r="G27" s="34" t="n">
        <v>10</v>
      </c>
      <c r="H27" s="31" t="s">
        <v>161</v>
      </c>
    </row>
    <row r="28" customFormat="false" ht="15" hidden="false" customHeight="false" outlineLevel="0" collapsed="false">
      <c r="A28" s="12" t="s">
        <v>162</v>
      </c>
      <c r="B28" s="31" t="s">
        <v>163</v>
      </c>
      <c r="C28" s="34" t="n">
        <v>30</v>
      </c>
      <c r="D28" s="34" t="n">
        <v>150</v>
      </c>
      <c r="E28" s="34" t="n">
        <v>450</v>
      </c>
      <c r="F28" s="34" t="n">
        <v>1500</v>
      </c>
      <c r="G28" s="34" t="n">
        <v>4500</v>
      </c>
      <c r="H28" s="31" t="s">
        <v>164</v>
      </c>
    </row>
    <row r="29" customFormat="false" ht="15" hidden="false" customHeight="false" outlineLevel="0" collapsed="false">
      <c r="A29" s="12" t="s">
        <v>165</v>
      </c>
      <c r="B29" s="31" t="s">
        <v>163</v>
      </c>
      <c r="C29" s="34" t="n">
        <v>100</v>
      </c>
      <c r="D29" s="34" t="n">
        <v>500</v>
      </c>
      <c r="E29" s="34" t="n">
        <v>1500</v>
      </c>
      <c r="F29" s="34" t="n">
        <v>5000</v>
      </c>
      <c r="G29" s="34" t="n">
        <v>15000</v>
      </c>
      <c r="H29" s="31" t="s">
        <v>166</v>
      </c>
    </row>
    <row r="30" customFormat="false" ht="15" hidden="false" customHeight="false" outlineLevel="0" collapsed="false">
      <c r="A30" s="12" t="s">
        <v>167</v>
      </c>
      <c r="B30" s="31" t="s">
        <v>120</v>
      </c>
      <c r="C30" s="34" t="n">
        <v>0</v>
      </c>
      <c r="D30" s="34" t="n">
        <v>1</v>
      </c>
      <c r="E30" s="34" t="n">
        <v>3</v>
      </c>
      <c r="F30" s="34" t="n">
        <v>15</v>
      </c>
      <c r="G30" s="34" t="n">
        <v>50</v>
      </c>
      <c r="H30" s="31"/>
    </row>
    <row r="31" customFormat="false" ht="15" hidden="false" customHeight="false" outlineLevel="0" collapsed="false">
      <c r="A31" s="12" t="s">
        <v>168</v>
      </c>
      <c r="B31" s="31" t="s">
        <v>120</v>
      </c>
      <c r="C31" s="34" t="n">
        <v>0</v>
      </c>
      <c r="D31" s="34" t="n">
        <v>1</v>
      </c>
      <c r="E31" s="34" t="n">
        <v>2</v>
      </c>
      <c r="F31" s="34" t="n">
        <v>4</v>
      </c>
      <c r="G31" s="34" t="n">
        <v>8</v>
      </c>
      <c r="H31" s="31" t="s">
        <v>169</v>
      </c>
    </row>
    <row r="32" customFormat="false" ht="15" hidden="false" customHeight="false" outlineLevel="0" collapsed="false">
      <c r="A32" s="12" t="s">
        <v>170</v>
      </c>
      <c r="B32" s="31" t="s">
        <v>171</v>
      </c>
      <c r="C32" s="34" t="n">
        <v>1</v>
      </c>
      <c r="D32" s="34" t="n">
        <v>1</v>
      </c>
      <c r="E32" s="34" t="n">
        <v>1</v>
      </c>
      <c r="F32" s="34" t="n">
        <v>1</v>
      </c>
      <c r="G32" s="34" t="n">
        <v>1</v>
      </c>
      <c r="H32" s="31" t="s">
        <v>172</v>
      </c>
    </row>
    <row r="33" customFormat="false" ht="15" hidden="false" customHeight="false" outlineLevel="0" collapsed="false">
      <c r="A33" s="12" t="s">
        <v>173</v>
      </c>
      <c r="B33" s="31" t="s">
        <v>174</v>
      </c>
      <c r="C33" s="25" t="n">
        <v>0.25</v>
      </c>
      <c r="D33" s="25" t="n">
        <v>1</v>
      </c>
      <c r="E33" s="25" t="n">
        <v>1</v>
      </c>
      <c r="F33" s="25" t="n">
        <v>1</v>
      </c>
      <c r="G33" s="25" t="n">
        <v>1</v>
      </c>
      <c r="H33" s="31" t="s">
        <v>175</v>
      </c>
    </row>
    <row r="34" customFormat="false" ht="15" hidden="false" customHeight="false" outlineLevel="0" collapsed="false">
      <c r="A34" s="2"/>
      <c r="B34" s="2"/>
      <c r="C34" s="2"/>
      <c r="D34" s="2"/>
      <c r="E34" s="2"/>
      <c r="F34" s="2"/>
      <c r="G34" s="2"/>
      <c r="H34" s="2"/>
    </row>
    <row r="35" customFormat="false" ht="15" hidden="false" customHeight="false" outlineLevel="0" collapsed="false">
      <c r="A35" s="29" t="s">
        <v>176</v>
      </c>
      <c r="B35" s="30"/>
      <c r="C35" s="30"/>
      <c r="D35" s="30"/>
      <c r="E35" s="30"/>
      <c r="F35" s="30"/>
      <c r="G35" s="30"/>
      <c r="H35" s="30"/>
    </row>
    <row r="36" customFormat="false" ht="15" hidden="false" customHeight="false" outlineLevel="0" collapsed="false">
      <c r="A36" s="12" t="s">
        <v>177</v>
      </c>
      <c r="B36" s="31" t="s">
        <v>178</v>
      </c>
      <c r="C36" s="27" t="n">
        <f aca="false">C16*'Unit Costs'!$AB$47+C17*'Unit Costs'!$AB$48+C18*'Unit Costs'!$AB$49+C19*'Unit Costs'!$AB$52</f>
        <v>0.0098510625</v>
      </c>
      <c r="D36" s="27" t="n">
        <f aca="false">D16*'Unit Costs'!$AB$47+D17*'Unit Costs'!$AB$48+D18*'Unit Costs'!$AB$49+D19*'Unit Costs'!$AB$52</f>
        <v>0.0159173125</v>
      </c>
      <c r="E36" s="27" t="n">
        <f aca="false">E16*'Unit Costs'!$AB$47+E17*'Unit Costs'!$AB$48+E18*'Unit Costs'!$AB$49+E19*'Unit Costs'!$AB$52</f>
        <v>0.0159173125</v>
      </c>
      <c r="F36" s="27" t="n">
        <f aca="false">F16*'Unit Costs'!$AB$47+F17*'Unit Costs'!$AB$48+F18*'Unit Costs'!$AB$49+F19*'Unit Costs'!$AB$52</f>
        <v>0.0159173125</v>
      </c>
      <c r="G36" s="27" t="n">
        <f aca="false">G16*'Unit Costs'!$AB$47+G17*'Unit Costs'!$AB$48+G18*'Unit Costs'!$AB$49+G19*'Unit Costs'!$AB$52</f>
        <v>0.0159173125</v>
      </c>
      <c r="H36" s="31"/>
    </row>
    <row r="37" customFormat="false" ht="15" hidden="false" customHeight="false" outlineLevel="0" collapsed="false">
      <c r="A37" s="12" t="s">
        <v>179</v>
      </c>
      <c r="B37" s="31" t="s">
        <v>178</v>
      </c>
      <c r="C37" s="39" t="n">
        <f aca="false">C15*C36*C20</f>
        <v>0.213275503125</v>
      </c>
      <c r="D37" s="39" t="n">
        <f aca="false">D15*D36*D20</f>
        <v>1.723049078125</v>
      </c>
      <c r="E37" s="39" t="n">
        <f aca="false">E15*E36*E20</f>
        <v>6.8921963125</v>
      </c>
      <c r="F37" s="39" t="n">
        <f aca="false">F15*F36*F20</f>
        <v>20.6765889375</v>
      </c>
      <c r="G37" s="39" t="n">
        <f aca="false">G15*G36*G20</f>
        <v>68.921963125</v>
      </c>
      <c r="H37" s="31"/>
    </row>
    <row r="38" customFormat="false" ht="15" hidden="false" customHeight="false" outlineLevel="0" collapsed="false">
      <c r="A38" s="12" t="s">
        <v>150</v>
      </c>
      <c r="B38" s="31" t="s">
        <v>178</v>
      </c>
      <c r="C38" s="39" t="n">
        <f aca="false">C21*(C22*Inputs!$B$28+5*Inputs!$B$29)</f>
        <v>0.0475</v>
      </c>
      <c r="D38" s="39" t="n">
        <f aca="false">D21*(D22*Inputs!$B$28+5*Inputs!$B$29)</f>
        <v>0.22</v>
      </c>
      <c r="E38" s="39" t="n">
        <f aca="false">E21*(E22*Inputs!$B$28+5*Inputs!$B$29)</f>
        <v>0.85</v>
      </c>
      <c r="F38" s="39" t="n">
        <f aca="false">F21*(F22*Inputs!$B$28+5*Inputs!$B$29)</f>
        <v>3.9</v>
      </c>
      <c r="G38" s="39" t="n">
        <f aca="false">G21*(G22*Inputs!$B$28+5*Inputs!$B$29)</f>
        <v>17.1</v>
      </c>
      <c r="H38" s="31"/>
    </row>
    <row r="39" customFormat="false" ht="15" hidden="false" customHeight="false" outlineLevel="0" collapsed="false">
      <c r="A39" s="12" t="s">
        <v>180</v>
      </c>
      <c r="B39" s="31" t="s">
        <v>178</v>
      </c>
      <c r="C39" s="39" t="n">
        <f aca="false">C23*C24*'Unit Costs'!$AB$43</f>
        <v>0</v>
      </c>
      <c r="D39" s="39" t="n">
        <f aca="false">D23*D24*'Unit Costs'!$AB$43</f>
        <v>0.238898669124</v>
      </c>
      <c r="E39" s="39" t="n">
        <f aca="false">E23*E24*'Unit Costs'!$AB$43</f>
        <v>1.471277408</v>
      </c>
      <c r="F39" s="39" t="n">
        <f aca="false">F23*F24*'Unit Costs'!$AB$43</f>
        <v>4.413832224</v>
      </c>
      <c r="G39" s="39" t="n">
        <f aca="false">G23*G24*'Unit Costs'!$AB$43</f>
        <v>13.241496672</v>
      </c>
      <c r="H39" s="31"/>
    </row>
    <row r="40" customFormat="false" ht="15" hidden="false" customHeight="false" outlineLevel="0" collapsed="false">
      <c r="A40" s="12" t="s">
        <v>181</v>
      </c>
      <c r="B40" s="31" t="s">
        <v>178</v>
      </c>
      <c r="C40" s="39" t="n">
        <f aca="false">(C26*Inputs!$B$25+C25*Inputs!$B$24)*'Unit Costs'!$AB$40</f>
        <v>0</v>
      </c>
      <c r="D40" s="39" t="n">
        <f aca="false">(D26*Inputs!$B$25+D25*Inputs!$B$24)*'Unit Costs'!$AB$40</f>
        <v>1.054092353025</v>
      </c>
      <c r="E40" s="39" t="n">
        <f aca="false">(E26*Inputs!$B$25+E25*Inputs!$B$24)*'Unit Costs'!$AB$40</f>
        <v>3.162277059075</v>
      </c>
      <c r="F40" s="39" t="n">
        <f aca="false">(F26*Inputs!$B$25+F25*Inputs!$B$24)*'Unit Costs'!$AB$40</f>
        <v>10.54092353025</v>
      </c>
      <c r="G40" s="39" t="n">
        <f aca="false">(G26*Inputs!$B$25+G25*Inputs!$B$24)*'Unit Costs'!$AB$40</f>
        <v>31.62277059075</v>
      </c>
      <c r="H40" s="31"/>
    </row>
    <row r="41" customFormat="false" ht="15" hidden="false" customHeight="false" outlineLevel="0" collapsed="false">
      <c r="A41" s="12" t="s">
        <v>182</v>
      </c>
      <c r="B41" s="31" t="s">
        <v>178</v>
      </c>
      <c r="C41" s="39" t="n">
        <f aca="false">C27*Inputs!$B$24*'Unit Costs'!$AB$38</f>
        <v>0</v>
      </c>
      <c r="D41" s="39" t="n">
        <f aca="false">D27*Inputs!$B$24*'Unit Costs'!$AB$38</f>
        <v>0.84828713747625</v>
      </c>
      <c r="E41" s="39" t="n">
        <f aca="false">E27*Inputs!$B$24*'Unit Costs'!$AB$38</f>
        <v>0.84828713747625</v>
      </c>
      <c r="F41" s="39" t="n">
        <f aca="false">F27*Inputs!$B$24*'Unit Costs'!$AB$38</f>
        <v>2.54486141242875</v>
      </c>
      <c r="G41" s="39" t="n">
        <f aca="false">G27*Inputs!$B$24*'Unit Costs'!$AB$38</f>
        <v>8.4828713747625</v>
      </c>
      <c r="H41" s="31"/>
    </row>
    <row r="42" customFormat="false" ht="15" hidden="false" customHeight="false" outlineLevel="0" collapsed="false">
      <c r="A42" s="12" t="s">
        <v>183</v>
      </c>
      <c r="B42" s="31" t="s">
        <v>178</v>
      </c>
      <c r="C42" s="39" t="n">
        <f aca="false">C32*C28*Inputs!$B$26</f>
        <v>0.3</v>
      </c>
      <c r="D42" s="39" t="n">
        <f aca="false">D32*D28*Inputs!$B$26</f>
        <v>1.5</v>
      </c>
      <c r="E42" s="39" t="n">
        <f aca="false">E32*E28*Inputs!$B$26</f>
        <v>4.5</v>
      </c>
      <c r="F42" s="39" t="n">
        <f aca="false">F32*F28*Inputs!$B$26</f>
        <v>15</v>
      </c>
      <c r="G42" s="39" t="n">
        <f aca="false">G32*G28*Inputs!$B$26</f>
        <v>45</v>
      </c>
      <c r="H42" s="31"/>
    </row>
    <row r="43" customFormat="false" ht="15" hidden="false" customHeight="false" outlineLevel="0" collapsed="false">
      <c r="A43" s="12" t="s">
        <v>184</v>
      </c>
      <c r="B43" s="31" t="s">
        <v>178</v>
      </c>
      <c r="C43" s="39" t="n">
        <f aca="false">C32*C29*Inputs!$B$26</f>
        <v>1</v>
      </c>
      <c r="D43" s="39" t="n">
        <f aca="false">D32*D29*Inputs!$B$26</f>
        <v>5</v>
      </c>
      <c r="E43" s="39" t="n">
        <f aca="false">E32*E29*Inputs!$B$26</f>
        <v>15</v>
      </c>
      <c r="F43" s="39" t="n">
        <f aca="false">F32*F29*Inputs!$B$26</f>
        <v>50</v>
      </c>
      <c r="G43" s="39" t="n">
        <f aca="false">G32*G29*Inputs!$B$26</f>
        <v>150</v>
      </c>
      <c r="H43" s="31"/>
    </row>
    <row r="44" customFormat="false" ht="15" hidden="false" customHeight="false" outlineLevel="0" collapsed="false">
      <c r="A44" s="12" t="s">
        <v>185</v>
      </c>
      <c r="B44" s="31" t="s">
        <v>178</v>
      </c>
      <c r="C44" s="39" t="n">
        <f aca="false">C8*'Unit Costs'!$AB$60*C33</f>
        <v>0.1</v>
      </c>
      <c r="D44" s="39" t="n">
        <f aca="false">D8*'Unit Costs'!$AB$60*D33</f>
        <v>0.4</v>
      </c>
      <c r="E44" s="39" t="n">
        <f aca="false">E8*'Unit Costs'!$AB$60*E33</f>
        <v>1.2</v>
      </c>
      <c r="F44" s="39" t="n">
        <f aca="false">F8*'Unit Costs'!$AB$60*F33</f>
        <v>4</v>
      </c>
      <c r="G44" s="39" t="n">
        <f aca="false">G8*'Unit Costs'!$AB$60*G33</f>
        <v>12</v>
      </c>
      <c r="H44" s="31"/>
    </row>
    <row r="45" customFormat="false" ht="15" hidden="false" customHeight="false" outlineLevel="0" collapsed="false">
      <c r="A45" s="12" t="s">
        <v>186</v>
      </c>
      <c r="B45" s="31" t="s">
        <v>178</v>
      </c>
      <c r="C45" s="39" t="n">
        <f aca="false">C8*('Unit Costs'!$AB$24+'Unit Costs'!$AB$25+'Unit Costs'!$AB$26)/12</f>
        <v>0.0275531724270833</v>
      </c>
      <c r="D45" s="39" t="n">
        <f aca="false">D8*('Unit Costs'!$AB$24+'Unit Costs'!$AB$25+'Unit Costs'!$AB$26)/12</f>
        <v>0.0275531724270833</v>
      </c>
      <c r="E45" s="39" t="n">
        <f aca="false">E8*('Unit Costs'!$AB$24+'Unit Costs'!$AB$25+'Unit Costs'!$AB$26)/12</f>
        <v>0.08265951728125</v>
      </c>
      <c r="F45" s="39" t="n">
        <f aca="false">F8*('Unit Costs'!$AB$24+'Unit Costs'!$AB$25+'Unit Costs'!$AB$26)/12</f>
        <v>0.275531724270833</v>
      </c>
      <c r="G45" s="39" t="n">
        <f aca="false">G8*('Unit Costs'!$AB$24+'Unit Costs'!$AB$25+'Unit Costs'!$AB$26)/12</f>
        <v>0.8265951728125</v>
      </c>
      <c r="H45" s="31"/>
    </row>
    <row r="46" customFormat="false" ht="15" hidden="false" customHeight="false" outlineLevel="0" collapsed="false">
      <c r="A46" s="12" t="s">
        <v>187</v>
      </c>
      <c r="B46" s="31" t="s">
        <v>178</v>
      </c>
      <c r="C46" s="39" t="n">
        <f aca="false">C14*'Unit Costs'!$AB$19</f>
        <v>0.178601150625</v>
      </c>
      <c r="D46" s="39" t="n">
        <f aca="false">D14*'Unit Costs'!$AB$19</f>
        <v>2.2325143828125</v>
      </c>
      <c r="E46" s="39" t="n">
        <f aca="false">E14*'Unit Costs'!$AB$19</f>
        <v>6.251040271875</v>
      </c>
      <c r="F46" s="39" t="n">
        <f aca="false">F14*'Unit Costs'!$AB$19</f>
        <v>17.8601150625</v>
      </c>
      <c r="G46" s="39" t="n">
        <f aca="false">G14*'Unit Costs'!$AB$19</f>
        <v>53.5803451875</v>
      </c>
      <c r="H46" s="31"/>
    </row>
    <row r="47" customFormat="false" ht="15" hidden="false" customHeight="false" outlineLevel="0" collapsed="false">
      <c r="A47" s="12" t="s">
        <v>188</v>
      </c>
      <c r="B47" s="31" t="s">
        <v>178</v>
      </c>
      <c r="C47" s="39" t="n">
        <f aca="false">C13*'Unit Costs'!$AB$19</f>
        <v>0.2679017259375</v>
      </c>
      <c r="D47" s="39" t="n">
        <f aca="false">D13*'Unit Costs'!$AB$19</f>
        <v>7.144046025</v>
      </c>
      <c r="E47" s="39" t="n">
        <f aca="false">E13*'Unit Costs'!$AB$19</f>
        <v>17.8601150625</v>
      </c>
      <c r="F47" s="39" t="n">
        <f aca="false">F13*'Unit Costs'!$AB$19</f>
        <v>44.65028765625</v>
      </c>
      <c r="G47" s="39" t="n">
        <f aca="false">G13*'Unit Costs'!$AB$19</f>
        <v>107.160690375</v>
      </c>
      <c r="H47" s="31"/>
    </row>
    <row r="48" customFormat="false" ht="15" hidden="false" customHeight="false" outlineLevel="0" collapsed="false">
      <c r="A48" s="12" t="s">
        <v>189</v>
      </c>
      <c r="B48" s="31" t="s">
        <v>178</v>
      </c>
      <c r="C48" s="39" t="n">
        <f aca="false">C12*Inputs!$B$23*'Unit Costs'!$AB$20</f>
        <v>0</v>
      </c>
      <c r="D48" s="39" t="n">
        <f aca="false">D12*Inputs!$B$23*'Unit Costs'!$AB$20</f>
        <v>0.578706602625</v>
      </c>
      <c r="E48" s="39" t="n">
        <f aca="false">E12*Inputs!$B$23*'Unit Costs'!$AB$20</f>
        <v>2.893533013125</v>
      </c>
      <c r="F48" s="39" t="n">
        <f aca="false">F12*Inputs!$B$23*'Unit Costs'!$AB$20</f>
        <v>7.716088035</v>
      </c>
      <c r="G48" s="39" t="n">
        <f aca="false">G12*Inputs!$B$23*'Unit Costs'!$AB$20</f>
        <v>23.148264105</v>
      </c>
      <c r="H48" s="31"/>
    </row>
    <row r="49" customFormat="false" ht="15" hidden="false" customHeight="false" outlineLevel="0" collapsed="false">
      <c r="A49" s="12" t="s">
        <v>190</v>
      </c>
      <c r="B49" s="31" t="s">
        <v>178</v>
      </c>
      <c r="C49" s="39" t="n">
        <f aca="false">C12*'Unit Costs'!$AB$20</f>
        <v>0</v>
      </c>
      <c r="D49" s="39" t="n">
        <f aca="false">D12*'Unit Costs'!$AB$20</f>
        <v>1.4467665065625</v>
      </c>
      <c r="E49" s="39" t="n">
        <f aca="false">E12*'Unit Costs'!$AB$20</f>
        <v>7.2338325328125</v>
      </c>
      <c r="F49" s="39" t="n">
        <f aca="false">F12*'Unit Costs'!$AB$20</f>
        <v>19.2902200875</v>
      </c>
      <c r="G49" s="39" t="n">
        <f aca="false">G12*'Unit Costs'!$AB$20</f>
        <v>57.8706602625</v>
      </c>
      <c r="H49" s="31"/>
    </row>
    <row r="50" customFormat="false" ht="15" hidden="false" customHeight="false" outlineLevel="0" collapsed="false">
      <c r="A50" s="12" t="s">
        <v>191</v>
      </c>
      <c r="B50" s="31" t="s">
        <v>178</v>
      </c>
      <c r="C50" s="39" t="n">
        <f aca="false">C10*Inputs!$B$21*Inputs!$B$37</f>
        <v>0.050853891467009</v>
      </c>
      <c r="D50" s="39" t="n">
        <f aca="false">D10*Inputs!$B$21*Inputs!$B$37</f>
        <v>2.03415565868036</v>
      </c>
      <c r="E50" s="39" t="n">
        <f aca="false">E10*Inputs!$B$21*Inputs!$B$37</f>
        <v>6.10246697604108</v>
      </c>
      <c r="F50" s="39" t="n">
        <f aca="false">F10*Inputs!$B$21*Inputs!$B$37</f>
        <v>18.3074009281232</v>
      </c>
      <c r="G50" s="39" t="n">
        <f aca="false">G10*Inputs!$B$21*Inputs!$B$37</f>
        <v>50.853891467009</v>
      </c>
      <c r="H50" s="31"/>
    </row>
    <row r="51" customFormat="false" ht="15" hidden="false" customHeight="false" outlineLevel="0" collapsed="false">
      <c r="A51" s="12" t="s">
        <v>192</v>
      </c>
      <c r="B51" s="31" t="s">
        <v>178</v>
      </c>
      <c r="C51" s="39" t="n">
        <f aca="false">C10*Inputs!$B$37</f>
        <v>0.101707782934018</v>
      </c>
      <c r="D51" s="39" t="n">
        <f aca="false">D10*Inputs!$B$37</f>
        <v>4.06831131736072</v>
      </c>
      <c r="E51" s="39" t="n">
        <f aca="false">E10*Inputs!$B$37</f>
        <v>12.2049339520822</v>
      </c>
      <c r="F51" s="39" t="n">
        <f aca="false">F10*Inputs!$B$37</f>
        <v>36.6148018562465</v>
      </c>
      <c r="G51" s="39" t="n">
        <f aca="false">G10*Inputs!$B$37</f>
        <v>101.707782934018</v>
      </c>
      <c r="H51" s="31"/>
    </row>
    <row r="52" customFormat="false" ht="15" hidden="false" customHeight="false" outlineLevel="0" collapsed="false">
      <c r="A52" s="12" t="s">
        <v>193</v>
      </c>
      <c r="B52" s="31" t="s">
        <v>178</v>
      </c>
      <c r="C52" s="39" t="n">
        <f aca="false">C11*Inputs!$B$22*Inputs!$B$38</f>
        <v>0</v>
      </c>
      <c r="D52" s="39" t="n">
        <f aca="false">D11*Inputs!$B$22*Inputs!$B$38</f>
        <v>1.0707508394</v>
      </c>
      <c r="E52" s="39" t="n">
        <f aca="false">E11*Inputs!$B$22*Inputs!$B$38</f>
        <v>3.2122525182</v>
      </c>
      <c r="F52" s="39" t="n">
        <f aca="false">F11*Inputs!$B$22*Inputs!$B$38</f>
        <v>10.707508394</v>
      </c>
      <c r="G52" s="39" t="n">
        <f aca="false">G11*Inputs!$B$22*Inputs!$B$38</f>
        <v>26.768770985</v>
      </c>
      <c r="H52" s="31"/>
    </row>
    <row r="53" customFormat="false" ht="15" hidden="false" customHeight="false" outlineLevel="0" collapsed="false">
      <c r="A53" s="12" t="s">
        <v>194</v>
      </c>
      <c r="B53" s="31" t="s">
        <v>178</v>
      </c>
      <c r="C53" s="39" t="n">
        <f aca="false">C11*Inputs!$B$38</f>
        <v>0</v>
      </c>
      <c r="D53" s="39" t="n">
        <f aca="false">D11*Inputs!$B$38</f>
        <v>1.78458473233333</v>
      </c>
      <c r="E53" s="39" t="n">
        <f aca="false">E11*Inputs!$B$38</f>
        <v>5.353754197</v>
      </c>
      <c r="F53" s="39" t="n">
        <f aca="false">F11*Inputs!$B$38</f>
        <v>17.8458473233333</v>
      </c>
      <c r="G53" s="39" t="n">
        <f aca="false">G11*Inputs!$B$38</f>
        <v>44.6146183083333</v>
      </c>
      <c r="H53" s="31"/>
    </row>
    <row r="54" customFormat="false" ht="15" hidden="false" customHeight="false" outlineLevel="0" collapsed="false">
      <c r="A54" s="7" t="s">
        <v>195</v>
      </c>
      <c r="B54" s="31" t="s">
        <v>178</v>
      </c>
      <c r="C54" s="40" t="n">
        <f aca="false">C37+C38+C39+C40+C41+C44+C45+C42+C46+C48+C50+C52</f>
        <v>0.917783717644092</v>
      </c>
      <c r="D54" s="40" t="n">
        <f aca="false">D37+D38+D39+D40+D41+D44+D45+D42+D46+D48+D50+D52</f>
        <v>11.9280078936952</v>
      </c>
      <c r="E54" s="40" t="n">
        <f aca="false">E37+E38+E39+E40+E41+E44+E45+E42+E46+E48+E50+E52</f>
        <v>37.4659902135736</v>
      </c>
      <c r="F54" s="40" t="n">
        <f aca="false">F37+F38+F39+F40+F41+F44+F45+F42+F46+F48+F50+F52</f>
        <v>115.942850248073</v>
      </c>
      <c r="G54" s="40" t="n">
        <f aca="false">G37+G38+G39+G40+G41+G44+G45+G42+G46+G48+G50+G52</f>
        <v>351.546968679834</v>
      </c>
      <c r="H54" s="31"/>
    </row>
    <row r="55" customFormat="false" ht="15" hidden="false" customHeight="false" outlineLevel="0" collapsed="false">
      <c r="A55" s="7" t="s">
        <v>196</v>
      </c>
      <c r="B55" s="31" t="s">
        <v>178</v>
      </c>
      <c r="C55" s="40" t="n">
        <f aca="false">C37+C38+C39+C40+C41+C44+C45+C43+C47+C49+C51+C53</f>
        <v>1.7579381844236</v>
      </c>
      <c r="D55" s="40" t="n">
        <f aca="false">D37+D38+D39+D40+D41+D44+D45+D43+D47+D49+D51+D53</f>
        <v>23.9555889914339</v>
      </c>
      <c r="E55" s="40" t="n">
        <f aca="false">E37+E38+E39+E40+E41+E44+E45+E43+E47+E49+E51+E53</f>
        <v>72.1593331787272</v>
      </c>
      <c r="F55" s="40" t="n">
        <f aca="false">F37+F38+F39+F40+F41+F44+F45+F43+F47+F49+F51+F53</f>
        <v>214.752894751779</v>
      </c>
      <c r="G55" s="40" t="n">
        <f aca="false">G37+G38+G39+G40+G41+G44+G45+G43+G47+G49+G51+G53</f>
        <v>613.549448815176</v>
      </c>
      <c r="H55" s="31"/>
    </row>
    <row r="56" customFormat="false" ht="15" hidden="false" customHeight="false" outlineLevel="0" collapsed="false">
      <c r="A56" s="2"/>
      <c r="B56" s="2"/>
      <c r="C56" s="2"/>
      <c r="D56" s="2"/>
      <c r="E56" s="2"/>
      <c r="F56" s="2"/>
      <c r="G56" s="2"/>
      <c r="H56" s="2"/>
    </row>
    <row r="57" customFormat="false" ht="15" hidden="false" customHeight="false" outlineLevel="0" collapsed="false">
      <c r="A57" s="29" t="s">
        <v>197</v>
      </c>
      <c r="B57" s="30"/>
      <c r="C57" s="30"/>
      <c r="D57" s="30"/>
      <c r="E57" s="30"/>
      <c r="F57" s="30"/>
      <c r="G57" s="30"/>
      <c r="H57" s="30"/>
    </row>
    <row r="58" customFormat="false" ht="15" hidden="false" customHeight="false" outlineLevel="0" collapsed="false">
      <c r="A58" s="12" t="s">
        <v>198</v>
      </c>
      <c r="B58" s="31" t="s">
        <v>178</v>
      </c>
      <c r="C58" s="39" t="n">
        <f aca="false">IF(C6=0,0,C6*Inputs!$B$16+Inputs!$B$17)</f>
        <v>0</v>
      </c>
      <c r="D58" s="39" t="n">
        <f aca="false">IF(D6=0,0,D6*Inputs!$B$16+Inputs!$B$17)</f>
        <v>2.95</v>
      </c>
      <c r="E58" s="39" t="n">
        <f aca="false">IF(E6=0,0,E6*Inputs!$B$16+Inputs!$B$17)</f>
        <v>7.95</v>
      </c>
      <c r="F58" s="39" t="n">
        <f aca="false">IF(F6=0,0,F6*Inputs!$B$16+Inputs!$B$17)</f>
        <v>22.95</v>
      </c>
      <c r="G58" s="39" t="n">
        <f aca="false">IF(G6=0,0,G6*Inputs!$B$16+Inputs!$B$17)</f>
        <v>60.45</v>
      </c>
      <c r="H58" s="31"/>
    </row>
    <row r="59" customFormat="false" ht="15" hidden="false" customHeight="false" outlineLevel="0" collapsed="false">
      <c r="A59" s="12" t="s">
        <v>199</v>
      </c>
      <c r="B59" s="31" t="s">
        <v>178</v>
      </c>
      <c r="C59" s="39" t="n">
        <f aca="false">C6*(Inputs!$B$18+Inputs!$B$19)</f>
        <v>0</v>
      </c>
      <c r="D59" s="39" t="n">
        <f aca="false">D6*(Inputs!$B$18+Inputs!$B$19)</f>
        <v>1.1025</v>
      </c>
      <c r="E59" s="39" t="n">
        <f aca="false">E6*(Inputs!$B$18+Inputs!$B$19)</f>
        <v>3.3525</v>
      </c>
      <c r="F59" s="39" t="n">
        <f aca="false">F6*(Inputs!$B$18+Inputs!$B$19)</f>
        <v>10.1025</v>
      </c>
      <c r="G59" s="39" t="n">
        <f aca="false">G6*(Inputs!$B$18+Inputs!$B$19)</f>
        <v>26.9775</v>
      </c>
      <c r="H59" s="31"/>
    </row>
    <row r="60" customFormat="false" ht="15" hidden="false" customHeight="false" outlineLevel="0" collapsed="false">
      <c r="A60" s="7" t="s">
        <v>200</v>
      </c>
      <c r="B60" s="31" t="s">
        <v>178</v>
      </c>
      <c r="C60" s="40" t="n">
        <f aca="false">C6-C54-C58-C59</f>
        <v>-0.917783717644092</v>
      </c>
      <c r="D60" s="40" t="n">
        <f aca="false">D6-D54-D58-D59</f>
        <v>33.0194921063048</v>
      </c>
      <c r="E60" s="40" t="n">
        <f aca="false">E6-E54-E58-E59</f>
        <v>100.231509786426</v>
      </c>
      <c r="F60" s="40" t="n">
        <f aca="false">F6-F54-F58-F59</f>
        <v>300.004649751927</v>
      </c>
      <c r="G60" s="40" t="n">
        <f aca="false">G6-G54-G58-G59</f>
        <v>760.025531320166</v>
      </c>
      <c r="H60" s="31"/>
    </row>
    <row r="61" customFormat="false" ht="15" hidden="false" customHeight="false" outlineLevel="0" collapsed="false">
      <c r="A61" s="7" t="s">
        <v>201</v>
      </c>
      <c r="B61" s="31" t="s">
        <v>202</v>
      </c>
      <c r="C61" s="41" t="str">
        <f aca="false">IF(C6=0,"n/a",C60/C6)</f>
        <v>n/a</v>
      </c>
      <c r="D61" s="41" t="n">
        <f aca="false">IF(D6=0,"n/a",D60/D6)</f>
        <v>0.673867185842955</v>
      </c>
      <c r="E61" s="41" t="n">
        <f aca="false">IF(E6=0,"n/a",E60/E6)</f>
        <v>0.672694696553198</v>
      </c>
      <c r="F61" s="41" t="n">
        <f aca="false">IF(F6=0,"n/a",F60/F6)</f>
        <v>0.668161803456408</v>
      </c>
      <c r="G61" s="41" t="n">
        <f aca="false">IF(G6=0,"n/a",G60/G6)</f>
        <v>0.633882845137753</v>
      </c>
      <c r="H61" s="31"/>
    </row>
    <row r="62" customFormat="false" ht="15" hidden="false" customHeight="false" outlineLevel="0" collapsed="false">
      <c r="A62" s="7" t="s">
        <v>203</v>
      </c>
      <c r="B62" s="31" t="s">
        <v>178</v>
      </c>
      <c r="C62" s="40" t="n">
        <f aca="false">C6-C55-C58-C59</f>
        <v>-1.7579381844236</v>
      </c>
      <c r="D62" s="40" t="n">
        <f aca="false">D6-D55-D58-D59</f>
        <v>20.9919110085661</v>
      </c>
      <c r="E62" s="40" t="n">
        <f aca="false">E6-E55-E58-E59</f>
        <v>65.5381668212728</v>
      </c>
      <c r="F62" s="40" t="n">
        <f aca="false">F6-F55-F58-F59</f>
        <v>201.194605248221</v>
      </c>
      <c r="G62" s="40" t="n">
        <f aca="false">G6-G55-G58-G59</f>
        <v>498.023051184824</v>
      </c>
      <c r="H62" s="31"/>
    </row>
    <row r="63" customFormat="false" ht="15" hidden="false" customHeight="false" outlineLevel="0" collapsed="false">
      <c r="A63" s="7" t="s">
        <v>204</v>
      </c>
      <c r="B63" s="31" t="s">
        <v>202</v>
      </c>
      <c r="C63" s="41" t="str">
        <f aca="false">IF(C6=0,"n/a",C62/C6)</f>
        <v>n/a</v>
      </c>
      <c r="D63" s="41" t="n">
        <f aca="false">IF(D6=0,"n/a",D62/D6)</f>
        <v>0.428406347113594</v>
      </c>
      <c r="E63" s="41" t="n">
        <f aca="false">IF(E6=0,"n/a",E62/E6)</f>
        <v>0.439853468599147</v>
      </c>
      <c r="F63" s="41" t="n">
        <f aca="false">IF(F6=0,"n/a",F62/F6)</f>
        <v>0.448094889194255</v>
      </c>
      <c r="G63" s="41" t="n">
        <f aca="false">IF(G6=0,"n/a",G62/G6)</f>
        <v>0.415365347109945</v>
      </c>
      <c r="H63" s="31"/>
    </row>
    <row r="64" customFormat="false" ht="15" hidden="false" customHeight="false" outlineLevel="0" collapsed="false">
      <c r="A64" s="2"/>
      <c r="B64" s="2"/>
      <c r="C64" s="2"/>
      <c r="D64" s="2"/>
      <c r="E64" s="2"/>
      <c r="F64" s="2"/>
      <c r="G64" s="2"/>
      <c r="H64" s="2"/>
    </row>
    <row r="65" customFormat="false" ht="15" hidden="false" customHeight="false" outlineLevel="0" collapsed="false">
      <c r="A65" s="29" t="s">
        <v>205</v>
      </c>
      <c r="B65" s="30"/>
      <c r="C65" s="30"/>
      <c r="D65" s="30"/>
      <c r="E65" s="30"/>
      <c r="F65" s="30"/>
      <c r="G65" s="30"/>
      <c r="H65" s="30"/>
    </row>
    <row r="66" customFormat="false" ht="15" hidden="false" customHeight="false" outlineLevel="0" collapsed="false">
      <c r="A66" s="7" t="s">
        <v>200</v>
      </c>
      <c r="B66" s="31" t="s">
        <v>116</v>
      </c>
      <c r="C66" s="40" t="n">
        <f aca="false">IF(C7=0,-C54,C7-C54-(C7*12*Inputs!$B$16+Inputs!$B$17)/12-C7*(Inputs!$B$18+Inputs!$B$19))</f>
        <v>-0.917783717644092</v>
      </c>
      <c r="D66" s="40" t="n">
        <f aca="false">IF(D7=0,-D54,D7-D54-(D7*12*Inputs!$B$16+Inputs!$B$17)/12-D7*(Inputs!$B$18+Inputs!$B$19))</f>
        <v>25.9017271896381</v>
      </c>
      <c r="E66" s="40" t="n">
        <f aca="false">IF(E7=0,-E54,E7-E54-(E7*12*Inputs!$B$16+Inputs!$B$17)/12-E7*(Inputs!$B$18+Inputs!$B$19))</f>
        <v>77.6523198697598</v>
      </c>
      <c r="F66" s="40" t="n">
        <f aca="false">IF(F7=0,-F54,F7-F54-(F7*12*Inputs!$B$16+Inputs!$B$17)/12-F7*(Inputs!$B$18+Inputs!$B$19))</f>
        <v>231.04118483526</v>
      </c>
      <c r="G66" s="40" t="n">
        <f aca="false">IF(G7=0,-G54,G7-G54-(G7*12*Inputs!$B$16+Inputs!$B$17)/12-G7*(Inputs!$B$18+Inputs!$B$19))</f>
        <v>575.101378903499</v>
      </c>
      <c r="H66" s="31"/>
    </row>
    <row r="67" customFormat="false" ht="15" hidden="false" customHeight="false" outlineLevel="0" collapsed="false">
      <c r="A67" s="7" t="s">
        <v>201</v>
      </c>
      <c r="B67" s="31" t="s">
        <v>202</v>
      </c>
      <c r="C67" s="41" t="str">
        <f aca="false">IF(C7=0,"n/a",C66/C7)</f>
        <v>n/a</v>
      </c>
      <c r="D67" s="41" t="n">
        <f aca="false">IF(D7=0,"n/a",D66/D7)</f>
        <v>0.634353386942942</v>
      </c>
      <c r="E67" s="41" t="n">
        <f aca="false">IF(E7=0,"n/a",E66/E7)</f>
        <v>0.625412827544724</v>
      </c>
      <c r="F67" s="41" t="n">
        <f aca="false">IF(F7=0,"n/a",F66/F7)</f>
        <v>0.617506708736752</v>
      </c>
      <c r="G67" s="41" t="n">
        <f aca="false">IF(G7=0,"n/a",G66/G7)</f>
        <v>0.575604053923791</v>
      </c>
      <c r="H67" s="31"/>
    </row>
    <row r="68" customFormat="false" ht="15" hidden="false" customHeight="false" outlineLevel="0" collapsed="false">
      <c r="A68" s="2"/>
      <c r="B68" s="2"/>
      <c r="C68" s="2"/>
      <c r="D68" s="2"/>
      <c r="E68" s="2"/>
      <c r="F68" s="2"/>
      <c r="G68" s="2"/>
      <c r="H68" s="2"/>
    </row>
    <row r="69" customFormat="false" ht="15" hidden="false" customHeight="false" outlineLevel="0" collapsed="false">
      <c r="A69" s="29" t="s">
        <v>206</v>
      </c>
      <c r="B69" s="30"/>
      <c r="C69" s="30"/>
      <c r="D69" s="30"/>
      <c r="E69" s="30"/>
      <c r="F69" s="30"/>
      <c r="G69" s="30"/>
      <c r="H69" s="30"/>
    </row>
    <row r="70" customFormat="false" ht="15" hidden="false" customHeight="false" outlineLevel="0" collapsed="false">
      <c r="A70" s="12" t="s">
        <v>207</v>
      </c>
      <c r="B70" s="31" t="s">
        <v>116</v>
      </c>
      <c r="C70" s="33" t="n">
        <f aca="false">ROUNDUP(C55*1.25,0)</f>
        <v>3</v>
      </c>
      <c r="D70" s="33" t="n">
        <f aca="false">ROUNDUP(D55*1.25,0)</f>
        <v>30</v>
      </c>
      <c r="E70" s="33" t="n">
        <f aca="false">ROUNDUP(E55*1.25,0)</f>
        <v>91</v>
      </c>
      <c r="F70" s="33" t="n">
        <f aca="false">ROUNDUP(F55*1.25,0)</f>
        <v>269</v>
      </c>
      <c r="G70" s="33" t="n">
        <f aca="false">ROUNDUP(G55*1.25,0)</f>
        <v>767</v>
      </c>
      <c r="H70" s="31" t="s">
        <v>208</v>
      </c>
    </row>
    <row r="71" customFormat="false" ht="15" hidden="false" customHeight="false" outlineLevel="0" collapsed="false">
      <c r="A71" s="12" t="s">
        <v>209</v>
      </c>
      <c r="B71" s="31" t="s">
        <v>210</v>
      </c>
      <c r="C71" s="33" t="n">
        <f aca="false">MAX(1,ROUNDUP(C70/8,0))</f>
        <v>1</v>
      </c>
      <c r="D71" s="33" t="n">
        <f aca="false">MAX(1,ROUNDUP(D70/8,0))</f>
        <v>4</v>
      </c>
      <c r="E71" s="33" t="n">
        <f aca="false">MAX(1,ROUNDUP(E70/8,0))</f>
        <v>12</v>
      </c>
      <c r="F71" s="33" t="n">
        <f aca="false">MAX(1,ROUNDUP(F70/8,0))</f>
        <v>34</v>
      </c>
      <c r="G71" s="33" t="n">
        <f aca="false">MAX(1,ROUNDUP(G70/8,0))</f>
        <v>96</v>
      </c>
      <c r="H71" s="31"/>
    </row>
    <row r="72" customFormat="false" ht="15" hidden="false" customHeight="false" outlineLevel="0" collapsed="false">
      <c r="A72" s="12" t="s">
        <v>211</v>
      </c>
      <c r="B72" s="31" t="s">
        <v>178</v>
      </c>
      <c r="C72" s="39" t="n">
        <f aca="false">C54/C8</f>
        <v>0.917783717644092</v>
      </c>
      <c r="D72" s="39" t="n">
        <f aca="false">D54/D8</f>
        <v>11.9280078936952</v>
      </c>
      <c r="E72" s="39" t="n">
        <f aca="false">E54/E8</f>
        <v>12.4886634045245</v>
      </c>
      <c r="F72" s="39" t="n">
        <f aca="false">F54/F8</f>
        <v>11.5942850248073</v>
      </c>
      <c r="G72" s="39" t="n">
        <f aca="false">G54/G8</f>
        <v>11.7182322893278</v>
      </c>
      <c r="H72" s="31"/>
    </row>
    <row r="73" customFormat="false" ht="15" hidden="false" customHeight="false" outlineLevel="0" collapsed="false">
      <c r="A73" s="12" t="s">
        <v>212</v>
      </c>
      <c r="B73" s="31" t="s">
        <v>178</v>
      </c>
      <c r="C73" s="39" t="n">
        <f aca="false">C6/C8</f>
        <v>0</v>
      </c>
      <c r="D73" s="39" t="n">
        <f aca="false">D6/D8</f>
        <v>49</v>
      </c>
      <c r="E73" s="39" t="n">
        <f aca="false">E6/E8</f>
        <v>49.6666666666667</v>
      </c>
      <c r="F73" s="39" t="n">
        <f aca="false">F6/F8</f>
        <v>44.9</v>
      </c>
      <c r="G73" s="39" t="n">
        <f aca="false">G6/G8</f>
        <v>39.9666666666667</v>
      </c>
      <c r="H73" s="31"/>
    </row>
  </sheetData>
  <conditionalFormatting sqref="C61:G61">
    <cfRule type="cellIs" priority="2" operator="lessThan" aboveAverage="0" equalAverage="0" bottom="0" percent="0" rank="0" text="" dxfId="0">
      <formula>0.45</formula>
    </cfRule>
  </conditionalFormatting>
  <conditionalFormatting sqref="C63:G63">
    <cfRule type="cellIs" priority="3" operator="lessThan" aboveAverage="0" equalAverage="0" bottom="0" percent="0" rank="0" text="" dxfId="0">
      <formula>0.45</formula>
    </cfRule>
  </conditionalFormatting>
  <conditionalFormatting sqref="C67:G67">
    <cfRule type="cellIs" priority="4" operator="lessThan" aboveAverage="0" equalAverage="0" bottom="0" percent="0" rank="0" text="" dxfId="0">
      <formula>0.45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5" min="3" style="0" width="14"/>
    <col collapsed="false" customWidth="true" hidden="false" outlineLevel="0" max="7" min="6" style="0" width="16"/>
    <col collapsed="false" customWidth="true" hidden="false" outlineLevel="0" max="8" min="8" style="0" width="50"/>
  </cols>
  <sheetData>
    <row r="1" customFormat="false" ht="17.35" hidden="false" customHeight="false" outlineLevel="0" collapsed="false">
      <c r="A1" s="1" t="s">
        <v>213</v>
      </c>
      <c r="B1" s="2"/>
      <c r="C1" s="2"/>
      <c r="D1" s="2"/>
      <c r="E1" s="2"/>
      <c r="F1" s="2"/>
      <c r="G1" s="2"/>
      <c r="H1" s="2"/>
    </row>
    <row r="2" customFormat="false" ht="15" hidden="false" customHeight="false" outlineLevel="0" collapsed="false">
      <c r="A2" s="3" t="s">
        <v>214</v>
      </c>
      <c r="B2" s="2"/>
      <c r="C2" s="2"/>
      <c r="D2" s="2"/>
      <c r="E2" s="2"/>
      <c r="F2" s="2"/>
      <c r="G2" s="2"/>
      <c r="H2" s="2"/>
    </row>
    <row r="3" customFormat="false" ht="15" hidden="false" customHeight="false" outlineLevel="0" collapsed="false">
      <c r="A3" s="2"/>
      <c r="B3" s="2"/>
      <c r="C3" s="2"/>
      <c r="D3" s="2"/>
      <c r="E3" s="2"/>
      <c r="F3" s="2"/>
      <c r="G3" s="2"/>
      <c r="H3" s="2"/>
    </row>
    <row r="4" customFormat="false" ht="30" hidden="false" customHeight="true" outlineLevel="0" collapsed="false">
      <c r="A4" s="6" t="s">
        <v>215</v>
      </c>
      <c r="B4" s="6" t="s">
        <v>216</v>
      </c>
      <c r="C4" s="6" t="s">
        <v>12</v>
      </c>
      <c r="D4" s="6" t="s">
        <v>13</v>
      </c>
      <c r="E4" s="6" t="s">
        <v>14</v>
      </c>
      <c r="F4" s="6" t="s">
        <v>15</v>
      </c>
      <c r="G4" s="6" t="s">
        <v>16</v>
      </c>
      <c r="H4" s="6" t="s">
        <v>217</v>
      </c>
    </row>
    <row r="5" customFormat="false" ht="15" hidden="false" customHeight="false" outlineLevel="0" collapsed="false">
      <c r="A5" s="7" t="s">
        <v>218</v>
      </c>
      <c r="B5" s="12" t="s">
        <v>219</v>
      </c>
      <c r="C5" s="12" t="s">
        <v>220</v>
      </c>
      <c r="D5" s="12" t="s">
        <v>220</v>
      </c>
      <c r="E5" s="12" t="s">
        <v>221</v>
      </c>
      <c r="F5" s="12" t="s">
        <v>222</v>
      </c>
      <c r="G5" s="12" t="s">
        <v>223</v>
      </c>
      <c r="H5" s="31" t="s">
        <v>224</v>
      </c>
    </row>
    <row r="6" customFormat="false" ht="15" hidden="false" customHeight="false" outlineLevel="0" collapsed="false">
      <c r="A6" s="7"/>
      <c r="B6" s="12" t="s">
        <v>225</v>
      </c>
      <c r="C6" s="12" t="s">
        <v>226</v>
      </c>
      <c r="D6" s="12" t="s">
        <v>227</v>
      </c>
      <c r="E6" s="12" t="s">
        <v>227</v>
      </c>
      <c r="F6" s="12" t="s">
        <v>227</v>
      </c>
      <c r="G6" s="12" t="s">
        <v>227</v>
      </c>
      <c r="H6" s="31" t="s">
        <v>228</v>
      </c>
    </row>
    <row r="7" customFormat="false" ht="15" hidden="false" customHeight="false" outlineLevel="0" collapsed="false">
      <c r="A7" s="7"/>
      <c r="B7" s="12" t="s">
        <v>229</v>
      </c>
      <c r="C7" s="12" t="s">
        <v>227</v>
      </c>
      <c r="D7" s="12" t="s">
        <v>227</v>
      </c>
      <c r="E7" s="12" t="s">
        <v>227</v>
      </c>
      <c r="F7" s="12" t="s">
        <v>227</v>
      </c>
      <c r="G7" s="12" t="s">
        <v>227</v>
      </c>
      <c r="H7" s="31" t="s">
        <v>230</v>
      </c>
    </row>
    <row r="8" customFormat="false" ht="15" hidden="false" customHeight="false" outlineLevel="0" collapsed="false">
      <c r="A8" s="7" t="s">
        <v>231</v>
      </c>
      <c r="B8" s="12" t="s">
        <v>232</v>
      </c>
      <c r="C8" s="12" t="s">
        <v>233</v>
      </c>
      <c r="D8" s="12" t="s">
        <v>234</v>
      </c>
      <c r="E8" s="12" t="s">
        <v>235</v>
      </c>
      <c r="F8" s="12" t="s">
        <v>236</v>
      </c>
      <c r="G8" s="12" t="s">
        <v>237</v>
      </c>
      <c r="H8" s="31" t="s">
        <v>238</v>
      </c>
    </row>
    <row r="9" customFormat="false" ht="15" hidden="false" customHeight="false" outlineLevel="0" collapsed="false">
      <c r="A9" s="7"/>
      <c r="B9" s="12" t="s">
        <v>239</v>
      </c>
      <c r="C9" s="12" t="s">
        <v>226</v>
      </c>
      <c r="D9" s="12" t="s">
        <v>240</v>
      </c>
      <c r="E9" s="12" t="s">
        <v>241</v>
      </c>
      <c r="F9" s="12" t="s">
        <v>242</v>
      </c>
      <c r="G9" s="12" t="s">
        <v>243</v>
      </c>
      <c r="H9" s="31" t="s">
        <v>133</v>
      </c>
    </row>
    <row r="10" customFormat="false" ht="15" hidden="false" customHeight="false" outlineLevel="0" collapsed="false">
      <c r="A10" s="7"/>
      <c r="B10" s="12" t="s">
        <v>244</v>
      </c>
      <c r="C10" s="12" t="s">
        <v>226</v>
      </c>
      <c r="D10" s="12" t="s">
        <v>227</v>
      </c>
      <c r="E10" s="12" t="s">
        <v>227</v>
      </c>
      <c r="F10" s="12" t="s">
        <v>227</v>
      </c>
      <c r="G10" s="12" t="s">
        <v>227</v>
      </c>
      <c r="H10" s="31" t="s">
        <v>230</v>
      </c>
    </row>
    <row r="11" customFormat="false" ht="15" hidden="false" customHeight="false" outlineLevel="0" collapsed="false">
      <c r="A11" s="7"/>
      <c r="B11" s="12" t="s">
        <v>245</v>
      </c>
      <c r="C11" s="12" t="s">
        <v>246</v>
      </c>
      <c r="D11" s="12" t="s">
        <v>227</v>
      </c>
      <c r="E11" s="12" t="s">
        <v>227</v>
      </c>
      <c r="F11" s="12" t="s">
        <v>227</v>
      </c>
      <c r="G11" s="12" t="s">
        <v>227</v>
      </c>
      <c r="H11" s="31" t="s">
        <v>247</v>
      </c>
    </row>
    <row r="12" customFormat="false" ht="15" hidden="false" customHeight="false" outlineLevel="0" collapsed="false">
      <c r="A12" s="7" t="s">
        <v>248</v>
      </c>
      <c r="B12" s="12" t="s">
        <v>249</v>
      </c>
      <c r="C12" s="12" t="s">
        <v>226</v>
      </c>
      <c r="D12" s="12" t="s">
        <v>227</v>
      </c>
      <c r="E12" s="12" t="s">
        <v>227</v>
      </c>
      <c r="F12" s="12" t="s">
        <v>227</v>
      </c>
      <c r="G12" s="12" t="s">
        <v>227</v>
      </c>
      <c r="H12" s="31" t="s">
        <v>250</v>
      </c>
    </row>
    <row r="13" customFormat="false" ht="15" hidden="false" customHeight="false" outlineLevel="0" collapsed="false">
      <c r="A13" s="7"/>
      <c r="B13" s="12" t="s">
        <v>251</v>
      </c>
      <c r="C13" s="12" t="s">
        <v>226</v>
      </c>
      <c r="D13" s="12" t="s">
        <v>227</v>
      </c>
      <c r="E13" s="12" t="s">
        <v>227</v>
      </c>
      <c r="F13" s="12" t="s">
        <v>227</v>
      </c>
      <c r="G13" s="12" t="s">
        <v>227</v>
      </c>
      <c r="H13" s="31" t="s">
        <v>252</v>
      </c>
    </row>
    <row r="14" customFormat="false" ht="15" hidden="false" customHeight="false" outlineLevel="0" collapsed="false">
      <c r="A14" s="7"/>
      <c r="B14" s="12" t="s">
        <v>253</v>
      </c>
      <c r="C14" s="12" t="s">
        <v>226</v>
      </c>
      <c r="D14" s="12" t="s">
        <v>227</v>
      </c>
      <c r="E14" s="12" t="s">
        <v>227</v>
      </c>
      <c r="F14" s="12" t="s">
        <v>227</v>
      </c>
      <c r="G14" s="12" t="s">
        <v>227</v>
      </c>
      <c r="H14" s="31" t="s">
        <v>254</v>
      </c>
    </row>
    <row r="15" customFormat="false" ht="15" hidden="false" customHeight="false" outlineLevel="0" collapsed="false">
      <c r="A15" s="7"/>
      <c r="B15" s="12" t="s">
        <v>255</v>
      </c>
      <c r="C15" s="12" t="s">
        <v>226</v>
      </c>
      <c r="D15" s="12" t="s">
        <v>226</v>
      </c>
      <c r="E15" s="12" t="s">
        <v>227</v>
      </c>
      <c r="F15" s="12" t="s">
        <v>227</v>
      </c>
      <c r="G15" s="12" t="s">
        <v>227</v>
      </c>
      <c r="H15" s="31" t="s">
        <v>256</v>
      </c>
    </row>
    <row r="16" customFormat="false" ht="15" hidden="false" customHeight="false" outlineLevel="0" collapsed="false">
      <c r="A16" s="7"/>
      <c r="B16" s="12" t="s">
        <v>257</v>
      </c>
      <c r="C16" s="12" t="s">
        <v>227</v>
      </c>
      <c r="D16" s="12" t="s">
        <v>227</v>
      </c>
      <c r="E16" s="12" t="s">
        <v>227</v>
      </c>
      <c r="F16" s="12" t="s">
        <v>227</v>
      </c>
      <c r="G16" s="12" t="s">
        <v>227</v>
      </c>
      <c r="H16" s="31" t="s">
        <v>230</v>
      </c>
    </row>
    <row r="17" customFormat="false" ht="15" hidden="false" customHeight="false" outlineLevel="0" collapsed="false">
      <c r="A17" s="7"/>
      <c r="B17" s="12" t="s">
        <v>258</v>
      </c>
      <c r="C17" s="12" t="s">
        <v>226</v>
      </c>
      <c r="D17" s="12" t="s">
        <v>226</v>
      </c>
      <c r="E17" s="12" t="s">
        <v>227</v>
      </c>
      <c r="F17" s="12" t="s">
        <v>227</v>
      </c>
      <c r="G17" s="12" t="s">
        <v>227</v>
      </c>
      <c r="H17" s="31" t="s">
        <v>230</v>
      </c>
    </row>
    <row r="18" customFormat="false" ht="15" hidden="false" customHeight="false" outlineLevel="0" collapsed="false">
      <c r="A18" s="7" t="s">
        <v>259</v>
      </c>
      <c r="B18" s="12" t="s">
        <v>260</v>
      </c>
      <c r="C18" s="12" t="s">
        <v>226</v>
      </c>
      <c r="D18" s="12" t="s">
        <v>227</v>
      </c>
      <c r="E18" s="12" t="s">
        <v>227</v>
      </c>
      <c r="F18" s="12" t="s">
        <v>227</v>
      </c>
      <c r="G18" s="12" t="s">
        <v>227</v>
      </c>
      <c r="H18" s="31" t="s">
        <v>261</v>
      </c>
    </row>
    <row r="19" customFormat="false" ht="15" hidden="false" customHeight="false" outlineLevel="0" collapsed="false">
      <c r="A19" s="7"/>
      <c r="B19" s="12" t="s">
        <v>262</v>
      </c>
      <c r="C19" s="12" t="s">
        <v>226</v>
      </c>
      <c r="D19" s="12" t="s">
        <v>263</v>
      </c>
      <c r="E19" s="12" t="s">
        <v>264</v>
      </c>
      <c r="F19" s="12" t="s">
        <v>265</v>
      </c>
      <c r="G19" s="12" t="s">
        <v>266</v>
      </c>
      <c r="H19" s="31" t="s">
        <v>267</v>
      </c>
    </row>
    <row r="20" customFormat="false" ht="15" hidden="false" customHeight="false" outlineLevel="0" collapsed="false">
      <c r="A20" s="7"/>
      <c r="B20" s="12" t="s">
        <v>268</v>
      </c>
      <c r="C20" s="12" t="s">
        <v>226</v>
      </c>
      <c r="D20" s="12" t="s">
        <v>227</v>
      </c>
      <c r="E20" s="12" t="s">
        <v>227</v>
      </c>
      <c r="F20" s="12" t="s">
        <v>227</v>
      </c>
      <c r="G20" s="12" t="s">
        <v>227</v>
      </c>
      <c r="H20" s="31" t="s">
        <v>269</v>
      </c>
    </row>
    <row r="21" customFormat="false" ht="15" hidden="false" customHeight="false" outlineLevel="0" collapsed="false">
      <c r="A21" s="7"/>
      <c r="B21" s="12" t="s">
        <v>270</v>
      </c>
      <c r="C21" s="12" t="s">
        <v>226</v>
      </c>
      <c r="D21" s="12" t="s">
        <v>226</v>
      </c>
      <c r="E21" s="12" t="s">
        <v>227</v>
      </c>
      <c r="F21" s="12" t="s">
        <v>227</v>
      </c>
      <c r="G21" s="12" t="s">
        <v>227</v>
      </c>
      <c r="H21" s="31" t="s">
        <v>271</v>
      </c>
    </row>
    <row r="22" customFormat="false" ht="15" hidden="false" customHeight="false" outlineLevel="0" collapsed="false">
      <c r="A22" s="7"/>
      <c r="B22" s="12" t="s">
        <v>272</v>
      </c>
      <c r="C22" s="12" t="s">
        <v>226</v>
      </c>
      <c r="D22" s="12" t="s">
        <v>226</v>
      </c>
      <c r="E22" s="12" t="s">
        <v>226</v>
      </c>
      <c r="F22" s="12" t="s">
        <v>227</v>
      </c>
      <c r="G22" s="12" t="s">
        <v>227</v>
      </c>
      <c r="H22" s="31" t="s">
        <v>273</v>
      </c>
    </row>
    <row r="23" customFormat="false" ht="15" hidden="false" customHeight="false" outlineLevel="0" collapsed="false">
      <c r="A23" s="7"/>
      <c r="B23" s="12" t="s">
        <v>274</v>
      </c>
      <c r="C23" s="12" t="s">
        <v>226</v>
      </c>
      <c r="D23" s="12" t="s">
        <v>275</v>
      </c>
      <c r="E23" s="12" t="s">
        <v>276</v>
      </c>
      <c r="F23" s="12" t="s">
        <v>263</v>
      </c>
      <c r="G23" s="12" t="s">
        <v>277</v>
      </c>
      <c r="H23" s="31" t="s">
        <v>278</v>
      </c>
    </row>
    <row r="24" customFormat="false" ht="15" hidden="false" customHeight="false" outlineLevel="0" collapsed="false">
      <c r="A24" s="7" t="s">
        <v>279</v>
      </c>
      <c r="B24" s="12" t="s">
        <v>280</v>
      </c>
      <c r="C24" s="12" t="s">
        <v>281</v>
      </c>
      <c r="D24" s="12" t="s">
        <v>282</v>
      </c>
      <c r="E24" s="12" t="s">
        <v>283</v>
      </c>
      <c r="F24" s="12" t="s">
        <v>284</v>
      </c>
      <c r="G24" s="12" t="s">
        <v>285</v>
      </c>
      <c r="H24" s="31" t="s">
        <v>286</v>
      </c>
    </row>
    <row r="25" customFormat="false" ht="15" hidden="false" customHeight="false" outlineLevel="0" collapsed="false">
      <c r="A25" s="7"/>
      <c r="B25" s="12" t="s">
        <v>287</v>
      </c>
      <c r="C25" s="12" t="s">
        <v>288</v>
      </c>
      <c r="D25" s="12" t="s">
        <v>289</v>
      </c>
      <c r="E25" s="12" t="s">
        <v>290</v>
      </c>
      <c r="F25" s="12" t="s">
        <v>290</v>
      </c>
      <c r="G25" s="12" t="s">
        <v>290</v>
      </c>
      <c r="H25" s="31" t="s">
        <v>291</v>
      </c>
    </row>
    <row r="26" customFormat="false" ht="15" hidden="false" customHeight="false" outlineLevel="0" collapsed="false">
      <c r="A26" s="7"/>
      <c r="B26" s="12" t="s">
        <v>292</v>
      </c>
      <c r="C26" s="12" t="s">
        <v>293</v>
      </c>
      <c r="D26" s="12" t="s">
        <v>294</v>
      </c>
      <c r="E26" s="12" t="s">
        <v>295</v>
      </c>
      <c r="F26" s="12" t="s">
        <v>296</v>
      </c>
      <c r="G26" s="12" t="s">
        <v>297</v>
      </c>
      <c r="H26" s="31" t="s">
        <v>298</v>
      </c>
    </row>
    <row r="27" customFormat="false" ht="15" hidden="false" customHeight="false" outlineLevel="0" collapsed="false">
      <c r="A27" s="7"/>
      <c r="B27" s="12" t="s">
        <v>299</v>
      </c>
      <c r="C27" s="12" t="s">
        <v>227</v>
      </c>
      <c r="D27" s="12" t="s">
        <v>227</v>
      </c>
      <c r="E27" s="12" t="s">
        <v>227</v>
      </c>
      <c r="F27" s="12" t="s">
        <v>227</v>
      </c>
      <c r="G27" s="12" t="s">
        <v>227</v>
      </c>
      <c r="H27" s="31" t="s">
        <v>230</v>
      </c>
    </row>
    <row r="28" customFormat="false" ht="15" hidden="false" customHeight="false" outlineLevel="0" collapsed="false">
      <c r="A28" s="7"/>
      <c r="B28" s="12" t="s">
        <v>300</v>
      </c>
      <c r="C28" s="12" t="s">
        <v>301</v>
      </c>
      <c r="D28" s="12" t="s">
        <v>227</v>
      </c>
      <c r="E28" s="12" t="s">
        <v>227</v>
      </c>
      <c r="F28" s="12" t="s">
        <v>227</v>
      </c>
      <c r="G28" s="12" t="s">
        <v>227</v>
      </c>
      <c r="H28" s="31" t="s">
        <v>302</v>
      </c>
    </row>
    <row r="29" customFormat="false" ht="15" hidden="false" customHeight="false" outlineLevel="0" collapsed="false">
      <c r="A29" s="7"/>
      <c r="B29" s="12" t="s">
        <v>303</v>
      </c>
      <c r="C29" s="12" t="s">
        <v>226</v>
      </c>
      <c r="D29" s="12" t="s">
        <v>226</v>
      </c>
      <c r="E29" s="12" t="s">
        <v>227</v>
      </c>
      <c r="F29" s="12" t="s">
        <v>227</v>
      </c>
      <c r="G29" s="12" t="s">
        <v>227</v>
      </c>
      <c r="H29" s="31" t="s">
        <v>256</v>
      </c>
    </row>
    <row r="30" customFormat="false" ht="15" hidden="false" customHeight="false" outlineLevel="0" collapsed="false">
      <c r="A30" s="7"/>
      <c r="B30" s="12" t="s">
        <v>304</v>
      </c>
      <c r="C30" s="12" t="s">
        <v>226</v>
      </c>
      <c r="D30" s="12" t="s">
        <v>226</v>
      </c>
      <c r="E30" s="12" t="s">
        <v>226</v>
      </c>
      <c r="F30" s="12" t="s">
        <v>227</v>
      </c>
      <c r="G30" s="12" t="s">
        <v>227</v>
      </c>
      <c r="H30" s="31" t="s">
        <v>305</v>
      </c>
    </row>
    <row r="31" customFormat="false" ht="15" hidden="false" customHeight="false" outlineLevel="0" collapsed="false">
      <c r="A31" s="7"/>
      <c r="B31" s="12" t="s">
        <v>306</v>
      </c>
      <c r="C31" s="12" t="s">
        <v>226</v>
      </c>
      <c r="D31" s="12" t="s">
        <v>227</v>
      </c>
      <c r="E31" s="12" t="s">
        <v>227</v>
      </c>
      <c r="F31" s="12" t="s">
        <v>227</v>
      </c>
      <c r="G31" s="12" t="s">
        <v>227</v>
      </c>
      <c r="H31" s="31" t="s">
        <v>230</v>
      </c>
    </row>
    <row r="32" customFormat="false" ht="15" hidden="false" customHeight="false" outlineLevel="0" collapsed="false">
      <c r="A32" s="7"/>
      <c r="B32" s="12" t="s">
        <v>167</v>
      </c>
      <c r="C32" s="12" t="s">
        <v>226</v>
      </c>
      <c r="D32" s="12" t="s">
        <v>275</v>
      </c>
      <c r="E32" s="12" t="s">
        <v>307</v>
      </c>
      <c r="F32" s="12" t="s">
        <v>308</v>
      </c>
      <c r="G32" s="12" t="s">
        <v>309</v>
      </c>
      <c r="H32" s="31" t="s">
        <v>310</v>
      </c>
    </row>
    <row r="33" customFormat="false" ht="15" hidden="false" customHeight="false" outlineLevel="0" collapsed="false">
      <c r="A33" s="7" t="s">
        <v>311</v>
      </c>
      <c r="B33" s="12" t="s">
        <v>312</v>
      </c>
      <c r="C33" s="12" t="s">
        <v>226</v>
      </c>
      <c r="D33" s="12" t="s">
        <v>220</v>
      </c>
      <c r="E33" s="12" t="s">
        <v>220</v>
      </c>
      <c r="F33" s="12" t="s">
        <v>221</v>
      </c>
      <c r="G33" s="12" t="s">
        <v>222</v>
      </c>
      <c r="H33" s="31" t="s">
        <v>313</v>
      </c>
    </row>
    <row r="34" customFormat="false" ht="15" hidden="false" customHeight="false" outlineLevel="0" collapsed="false">
      <c r="A34" s="7"/>
      <c r="B34" s="12" t="s">
        <v>314</v>
      </c>
      <c r="C34" s="12" t="s">
        <v>226</v>
      </c>
      <c r="D34" s="12" t="s">
        <v>315</v>
      </c>
      <c r="E34" s="12" t="s">
        <v>316</v>
      </c>
      <c r="F34" s="12" t="s">
        <v>317</v>
      </c>
      <c r="G34" s="12" t="s">
        <v>318</v>
      </c>
      <c r="H34" s="31" t="s">
        <v>319</v>
      </c>
    </row>
    <row r="35" customFormat="false" ht="15" hidden="false" customHeight="false" outlineLevel="0" collapsed="false">
      <c r="A35" s="7"/>
      <c r="B35" s="12" t="s">
        <v>153</v>
      </c>
      <c r="C35" s="12" t="s">
        <v>226</v>
      </c>
      <c r="D35" s="12" t="s">
        <v>307</v>
      </c>
      <c r="E35" s="12" t="s">
        <v>320</v>
      </c>
      <c r="F35" s="12" t="s">
        <v>321</v>
      </c>
      <c r="G35" s="12" t="s">
        <v>322</v>
      </c>
      <c r="H35" s="31" t="s">
        <v>323</v>
      </c>
    </row>
    <row r="36" customFormat="false" ht="15" hidden="false" customHeight="false" outlineLevel="0" collapsed="false">
      <c r="A36" s="7"/>
      <c r="B36" s="12" t="s">
        <v>324</v>
      </c>
      <c r="C36" s="12" t="s">
        <v>226</v>
      </c>
      <c r="D36" s="12" t="s">
        <v>227</v>
      </c>
      <c r="E36" s="12" t="s">
        <v>227</v>
      </c>
      <c r="F36" s="12" t="s">
        <v>227</v>
      </c>
      <c r="G36" s="12" t="s">
        <v>227</v>
      </c>
      <c r="H36" s="31" t="s">
        <v>325</v>
      </c>
    </row>
    <row r="37" customFormat="false" ht="15" hidden="false" customHeight="false" outlineLevel="0" collapsed="false">
      <c r="A37" s="7"/>
      <c r="B37" s="12" t="s">
        <v>326</v>
      </c>
      <c r="C37" s="12" t="s">
        <v>226</v>
      </c>
      <c r="D37" s="12" t="s">
        <v>227</v>
      </c>
      <c r="E37" s="12" t="s">
        <v>227</v>
      </c>
      <c r="F37" s="12" t="s">
        <v>227</v>
      </c>
      <c r="G37" s="12" t="s">
        <v>227</v>
      </c>
      <c r="H37" s="31" t="s">
        <v>230</v>
      </c>
    </row>
    <row r="38" customFormat="false" ht="15" hidden="false" customHeight="false" outlineLevel="0" collapsed="false">
      <c r="A38" s="7" t="s">
        <v>327</v>
      </c>
      <c r="B38" s="12" t="s">
        <v>328</v>
      </c>
      <c r="C38" s="12" t="s">
        <v>329</v>
      </c>
      <c r="D38" s="12" t="s">
        <v>330</v>
      </c>
      <c r="E38" s="12" t="s">
        <v>330</v>
      </c>
      <c r="F38" s="12" t="s">
        <v>330</v>
      </c>
      <c r="G38" s="12" t="s">
        <v>330</v>
      </c>
      <c r="H38" s="31" t="s">
        <v>331</v>
      </c>
    </row>
    <row r="39" customFormat="false" ht="15" hidden="false" customHeight="false" outlineLevel="0" collapsed="false">
      <c r="A39" s="7"/>
      <c r="B39" s="12" t="s">
        <v>332</v>
      </c>
      <c r="C39" s="12" t="s">
        <v>226</v>
      </c>
      <c r="D39" s="12" t="s">
        <v>227</v>
      </c>
      <c r="E39" s="12" t="s">
        <v>227</v>
      </c>
      <c r="F39" s="12" t="s">
        <v>227</v>
      </c>
      <c r="G39" s="12" t="s">
        <v>227</v>
      </c>
      <c r="H39" s="31" t="s">
        <v>230</v>
      </c>
    </row>
    <row r="40" customFormat="false" ht="15" hidden="false" customHeight="false" outlineLevel="0" collapsed="false">
      <c r="A40" s="7"/>
      <c r="B40" s="12" t="s">
        <v>333</v>
      </c>
      <c r="C40" s="12" t="s">
        <v>226</v>
      </c>
      <c r="D40" s="12" t="s">
        <v>226</v>
      </c>
      <c r="E40" s="12" t="s">
        <v>227</v>
      </c>
      <c r="F40" s="12" t="s">
        <v>227</v>
      </c>
      <c r="G40" s="12" t="s">
        <v>227</v>
      </c>
      <c r="H40" s="31" t="s">
        <v>334</v>
      </c>
    </row>
    <row r="41" customFormat="false" ht="15" hidden="false" customHeight="false" outlineLevel="0" collapsed="false">
      <c r="A41" s="7" t="s">
        <v>335</v>
      </c>
      <c r="B41" s="12" t="s">
        <v>122</v>
      </c>
      <c r="C41" s="12" t="s">
        <v>275</v>
      </c>
      <c r="D41" s="12" t="s">
        <v>276</v>
      </c>
      <c r="E41" s="12" t="s">
        <v>281</v>
      </c>
      <c r="F41" s="12" t="s">
        <v>330</v>
      </c>
      <c r="G41" s="12" t="s">
        <v>330</v>
      </c>
      <c r="H41" s="31" t="s">
        <v>336</v>
      </c>
    </row>
    <row r="42" customFormat="false" ht="15" hidden="false" customHeight="false" outlineLevel="0" collapsed="false">
      <c r="A42" s="7"/>
      <c r="B42" s="12" t="s">
        <v>337</v>
      </c>
      <c r="C42" s="12" t="s">
        <v>226</v>
      </c>
      <c r="D42" s="12" t="s">
        <v>226</v>
      </c>
      <c r="E42" s="12" t="s">
        <v>227</v>
      </c>
      <c r="F42" s="12" t="s">
        <v>227</v>
      </c>
      <c r="G42" s="12" t="s">
        <v>227</v>
      </c>
      <c r="H42" s="31" t="s">
        <v>230</v>
      </c>
    </row>
    <row r="43" customFormat="false" ht="15" hidden="false" customHeight="false" outlineLevel="0" collapsed="false">
      <c r="A43" s="7"/>
      <c r="B43" s="12" t="s">
        <v>338</v>
      </c>
      <c r="C43" s="12" t="s">
        <v>226</v>
      </c>
      <c r="D43" s="12" t="s">
        <v>226</v>
      </c>
      <c r="E43" s="12" t="s">
        <v>226</v>
      </c>
      <c r="F43" s="12" t="s">
        <v>227</v>
      </c>
      <c r="G43" s="12" t="s">
        <v>227</v>
      </c>
      <c r="H43" s="31" t="s">
        <v>339</v>
      </c>
    </row>
    <row r="44" customFormat="false" ht="15" hidden="false" customHeight="false" outlineLevel="0" collapsed="false">
      <c r="A44" s="7"/>
      <c r="B44" s="12" t="s">
        <v>340</v>
      </c>
      <c r="C44" s="12" t="s">
        <v>226</v>
      </c>
      <c r="D44" s="12" t="s">
        <v>226</v>
      </c>
      <c r="E44" s="12" t="s">
        <v>227</v>
      </c>
      <c r="F44" s="12" t="s">
        <v>227</v>
      </c>
      <c r="G44" s="12" t="s">
        <v>227</v>
      </c>
      <c r="H44" s="31" t="s">
        <v>230</v>
      </c>
    </row>
    <row r="45" customFormat="false" ht="15" hidden="false" customHeight="false" outlineLevel="0" collapsed="false">
      <c r="A45" s="7"/>
      <c r="B45" s="12" t="s">
        <v>341</v>
      </c>
      <c r="C45" s="12" t="s">
        <v>226</v>
      </c>
      <c r="D45" s="12" t="s">
        <v>226</v>
      </c>
      <c r="E45" s="12" t="s">
        <v>226</v>
      </c>
      <c r="F45" s="12" t="s">
        <v>226</v>
      </c>
      <c r="G45" s="12" t="s">
        <v>227</v>
      </c>
      <c r="H45" s="31" t="s">
        <v>230</v>
      </c>
    </row>
    <row r="46" customFormat="false" ht="15" hidden="false" customHeight="false" outlineLevel="0" collapsed="false">
      <c r="A46" s="7" t="s">
        <v>342</v>
      </c>
      <c r="B46" s="12" t="s">
        <v>343</v>
      </c>
      <c r="C46" s="12" t="s">
        <v>226</v>
      </c>
      <c r="D46" s="12" t="s">
        <v>226</v>
      </c>
      <c r="E46" s="12" t="s">
        <v>344</v>
      </c>
      <c r="F46" s="12" t="s">
        <v>344</v>
      </c>
      <c r="G46" s="12" t="s">
        <v>344</v>
      </c>
      <c r="H46" s="31" t="s">
        <v>345</v>
      </c>
    </row>
    <row r="47" customFormat="false" ht="15" hidden="false" customHeight="false" outlineLevel="0" collapsed="false">
      <c r="A47" s="7"/>
      <c r="B47" s="12" t="s">
        <v>346</v>
      </c>
      <c r="C47" s="12" t="s">
        <v>226</v>
      </c>
      <c r="D47" s="12" t="s">
        <v>227</v>
      </c>
      <c r="E47" s="12" t="s">
        <v>227</v>
      </c>
      <c r="F47" s="12" t="s">
        <v>227</v>
      </c>
      <c r="G47" s="12" t="s">
        <v>227</v>
      </c>
      <c r="H47" s="31" t="s">
        <v>347</v>
      </c>
    </row>
    <row r="48" customFormat="false" ht="15" hidden="false" customHeight="false" outlineLevel="0" collapsed="false">
      <c r="A48" s="7" t="s">
        <v>348</v>
      </c>
      <c r="B48" s="12" t="s">
        <v>348</v>
      </c>
      <c r="C48" s="12" t="s">
        <v>349</v>
      </c>
      <c r="D48" s="12" t="s">
        <v>350</v>
      </c>
      <c r="E48" s="12" t="s">
        <v>351</v>
      </c>
      <c r="F48" s="12" t="s">
        <v>352</v>
      </c>
      <c r="G48" s="12" t="s">
        <v>353</v>
      </c>
      <c r="H48"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3" min="3" style="0" width="10"/>
    <col collapsed="false" customWidth="true" hidden="false" outlineLevel="0" max="4" min="4" style="0" width="9"/>
    <col collapsed="false" customWidth="true" hidden="false" outlineLevel="0" max="5" min="5" style="0" width="10"/>
    <col collapsed="false" customWidth="true" hidden="false" outlineLevel="0" max="7" min="6" style="0" width="9"/>
    <col collapsed="false" customWidth="true" hidden="false" outlineLevel="0" max="8" min="8" style="0" width="18"/>
    <col collapsed="false" customWidth="true" hidden="false" outlineLevel="0" max="11" min="9" style="0" width="11"/>
    <col collapsed="false" customWidth="true" hidden="false" outlineLevel="0" max="12" min="12" style="0" width="16"/>
    <col collapsed="false" customWidth="true" hidden="false" outlineLevel="0" max="13" min="13" style="0" width="11"/>
  </cols>
  <sheetData>
    <row r="1" customFormat="false" ht="17.35" hidden="false" customHeight="false" outlineLevel="0" collapsed="false">
      <c r="A1" s="1" t="s">
        <v>354</v>
      </c>
      <c r="B1" s="2"/>
      <c r="C1" s="2"/>
      <c r="D1" s="2"/>
      <c r="E1" s="2"/>
      <c r="F1" s="2"/>
      <c r="G1" s="2"/>
      <c r="H1" s="2"/>
      <c r="I1" s="2"/>
      <c r="J1" s="2"/>
      <c r="K1" s="2"/>
      <c r="L1" s="2"/>
      <c r="M1" s="2"/>
    </row>
    <row r="2" customFormat="false" ht="15" hidden="false" customHeight="false" outlineLevel="0" collapsed="false">
      <c r="A2" s="3" t="s">
        <v>355</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30" hidden="false" customHeight="true" outlineLevel="0" collapsed="false">
      <c r="A4" s="6" t="s">
        <v>356</v>
      </c>
      <c r="B4" s="6" t="s">
        <v>112</v>
      </c>
      <c r="C4" s="6" t="s">
        <v>357</v>
      </c>
      <c r="D4" s="6" t="s">
        <v>7</v>
      </c>
      <c r="E4" s="6" t="s">
        <v>358</v>
      </c>
      <c r="F4" s="6" t="s">
        <v>359</v>
      </c>
      <c r="G4" s="6" t="s">
        <v>360</v>
      </c>
      <c r="H4" s="6" t="s">
        <v>361</v>
      </c>
      <c r="I4" s="6" t="s">
        <v>362</v>
      </c>
      <c r="J4" s="6" t="s">
        <v>363</v>
      </c>
      <c r="K4" s="6" t="s">
        <v>364</v>
      </c>
      <c r="L4" s="6" t="s">
        <v>365</v>
      </c>
      <c r="M4" s="6" t="s">
        <v>366</v>
      </c>
    </row>
    <row r="5" customFormat="false" ht="15" hidden="false" customHeight="false" outlineLevel="0" collapsed="false">
      <c r="A5" s="17" t="s">
        <v>367</v>
      </c>
      <c r="B5" s="12" t="s">
        <v>368</v>
      </c>
      <c r="C5" s="13" t="n">
        <f aca="false">'Unit Costs'!$AB$27</f>
        <v>0.022781478875</v>
      </c>
      <c r="D5" s="34" t="n">
        <v>12</v>
      </c>
      <c r="E5" s="39" t="n">
        <f aca="false">D5*Inputs!$B$6</f>
        <v>0.12</v>
      </c>
      <c r="F5" s="42" t="n">
        <f aca="false">IF(E5=0,"included",1-C5/E5)</f>
        <v>0.810154342708333</v>
      </c>
      <c r="G5" s="14" t="n">
        <f aca="false">Inputs!$B$33</f>
        <v>0.8</v>
      </c>
      <c r="H5" s="12" t="str">
        <f aca="false">IF(D5=0,"Included (fair use)",IF(F5&gt;=G5-0.025,"OK","RAISE"))</f>
        <v>OK</v>
      </c>
      <c r="I5" s="43" t="n">
        <f aca="false">ROUNDUP(C5/(1-G5)/Inputs!$B$6,0)</f>
        <v>12</v>
      </c>
      <c r="J5" s="24" t="n">
        <v>0.12</v>
      </c>
      <c r="K5" s="27" t="n">
        <f aca="false">IF(D5=0,0,C5/D5)</f>
        <v>0.00189845657291667</v>
      </c>
      <c r="L5" s="31" t="s">
        <v>369</v>
      </c>
      <c r="M5" s="44" t="n">
        <v>8</v>
      </c>
    </row>
    <row r="6" customFormat="false" ht="15" hidden="false" customHeight="false" outlineLevel="0" collapsed="false">
      <c r="A6" s="17" t="s">
        <v>370</v>
      </c>
      <c r="B6" s="12" t="s">
        <v>368</v>
      </c>
      <c r="C6" s="13" t="n">
        <f aca="false">'Unit Costs'!$AB$28</f>
        <v>0.06616241545</v>
      </c>
      <c r="D6" s="34" t="n">
        <v>30</v>
      </c>
      <c r="E6" s="39" t="n">
        <f aca="false">D6*Inputs!$B$6</f>
        <v>0.3</v>
      </c>
      <c r="F6" s="42" t="n">
        <f aca="false">IF(E6=0,"included",1-C6/E6)</f>
        <v>0.779458615166667</v>
      </c>
      <c r="G6" s="14" t="n">
        <f aca="false">Inputs!$B$34</f>
        <v>0.75</v>
      </c>
      <c r="H6" s="12" t="str">
        <f aca="false">IF(D6=0,"Included (fair use)",IF(F6&gt;=G6-0.025,"OK","RAISE"))</f>
        <v>OK</v>
      </c>
      <c r="I6" s="43" t="n">
        <f aca="false">ROUNDUP(C6/(1-G6)/Inputs!$B$6,0)</f>
        <v>27</v>
      </c>
      <c r="J6" s="24" t="n">
        <v>0.16</v>
      </c>
      <c r="K6" s="27" t="n">
        <f aca="false">IF(D6=0,0,C6/D6)</f>
        <v>0.00220541384833333</v>
      </c>
      <c r="L6" s="31" t="s">
        <v>371</v>
      </c>
      <c r="M6" s="44" t="n">
        <v>20</v>
      </c>
    </row>
    <row r="7" customFormat="false" ht="15" hidden="false" customHeight="false" outlineLevel="0" collapsed="false">
      <c r="A7" s="17" t="s">
        <v>372</v>
      </c>
      <c r="B7" s="12" t="s">
        <v>368</v>
      </c>
      <c r="C7" s="13" t="n">
        <f aca="false">'Unit Costs'!$AB$29</f>
        <v>0.059909562325</v>
      </c>
      <c r="D7" s="34" t="n">
        <v>30</v>
      </c>
      <c r="E7" s="39" t="n">
        <f aca="false">D7*Inputs!$B$6</f>
        <v>0.3</v>
      </c>
      <c r="F7" s="42" t="n">
        <f aca="false">IF(E7=0,"included",1-C7/E7)</f>
        <v>0.800301458916667</v>
      </c>
      <c r="G7" s="14" t="n">
        <f aca="false">Inputs!$B$34</f>
        <v>0.75</v>
      </c>
      <c r="H7" s="12" t="str">
        <f aca="false">IF(D7=0,"Included (fair use)",IF(F7&gt;=G7-0.025,"OK","RAISE"))</f>
        <v>OK</v>
      </c>
      <c r="I7" s="43" t="n">
        <f aca="false">ROUNDUP(C7/(1-G7)/Inputs!$B$6,0)</f>
        <v>24</v>
      </c>
      <c r="J7" s="24" t="n">
        <v>0.04</v>
      </c>
      <c r="K7" s="27" t="n">
        <f aca="false">IF(D7=0,0,C7/D7)</f>
        <v>0.00199698541083333</v>
      </c>
      <c r="L7" s="31" t="s">
        <v>373</v>
      </c>
      <c r="M7" s="44" t="n">
        <v>20</v>
      </c>
    </row>
    <row r="8" customFormat="false" ht="15" hidden="false" customHeight="false" outlineLevel="0" collapsed="false">
      <c r="A8" s="17" t="s">
        <v>374</v>
      </c>
      <c r="B8" s="12" t="s">
        <v>368</v>
      </c>
      <c r="C8" s="13" t="n">
        <f aca="false">'Unit Costs'!$AB$30</f>
        <v>0.058053922825</v>
      </c>
      <c r="D8" s="34" t="n">
        <v>30</v>
      </c>
      <c r="E8" s="39" t="n">
        <f aca="false">D8*Inputs!$B$6</f>
        <v>0.3</v>
      </c>
      <c r="F8" s="42" t="n">
        <f aca="false">IF(E8=0,"included",1-C8/E8)</f>
        <v>0.806486923916667</v>
      </c>
      <c r="G8" s="14" t="n">
        <f aca="false">Inputs!$B$34</f>
        <v>0.75</v>
      </c>
      <c r="H8" s="12" t="str">
        <f aca="false">IF(D8=0,"Included (fair use)",IF(F8&gt;=G8-0.025,"OK","RAISE"))</f>
        <v>OK</v>
      </c>
      <c r="I8" s="43" t="n">
        <f aca="false">ROUNDUP(C8/(1-G8)/Inputs!$B$6,0)</f>
        <v>24</v>
      </c>
      <c r="J8" s="24" t="n">
        <v>0.05</v>
      </c>
      <c r="K8" s="27" t="n">
        <f aca="false">IF(D8=0,0,C8/D8)</f>
        <v>0.00193513076083333</v>
      </c>
      <c r="L8" s="31" t="s">
        <v>375</v>
      </c>
      <c r="M8" s="44" t="n">
        <v>20</v>
      </c>
    </row>
    <row r="9" customFormat="false" ht="15" hidden="false" customHeight="false" outlineLevel="0" collapsed="false">
      <c r="A9" s="17" t="s">
        <v>376</v>
      </c>
      <c r="B9" s="12" t="s">
        <v>377</v>
      </c>
      <c r="C9" s="13" t="n">
        <f aca="false">'Unit Costs'!$AB$31</f>
        <v>0.193155572125</v>
      </c>
      <c r="D9" s="34" t="n">
        <v>100</v>
      </c>
      <c r="E9" s="39" t="n">
        <f aca="false">D9*Inputs!$B$6</f>
        <v>1</v>
      </c>
      <c r="F9" s="42" t="n">
        <f aca="false">IF(E9=0,"included",1-C9/E9)</f>
        <v>0.806844427875</v>
      </c>
      <c r="G9" s="14" t="n">
        <f aca="false">Inputs!$B$33</f>
        <v>0.8</v>
      </c>
      <c r="H9" s="12" t="str">
        <f aca="false">IF(D9=0,"Included (fair use)",IF(F9&gt;=G9-0.025,"OK","RAISE"))</f>
        <v>OK</v>
      </c>
      <c r="I9" s="43" t="n">
        <f aca="false">ROUNDUP(C9/(1-G9)/Inputs!$B$6,0)</f>
        <v>97</v>
      </c>
      <c r="J9" s="24" t="n">
        <v>0.06</v>
      </c>
      <c r="K9" s="27" t="n">
        <f aca="false">IF(D9=0,0,C9/D9)</f>
        <v>0.00193155572125</v>
      </c>
      <c r="L9" s="31" t="s">
        <v>378</v>
      </c>
      <c r="M9" s="44" t="n">
        <v>15</v>
      </c>
    </row>
    <row r="10" customFormat="false" ht="15" hidden="false" customHeight="false" outlineLevel="0" collapsed="false">
      <c r="A10" s="17" t="s">
        <v>379</v>
      </c>
      <c r="B10" s="12" t="s">
        <v>377</v>
      </c>
      <c r="C10" s="13" t="n">
        <f aca="false">'Unit Costs'!$AB$32</f>
        <v>0.27341737475</v>
      </c>
      <c r="D10" s="34" t="n">
        <v>140</v>
      </c>
      <c r="E10" s="39" t="n">
        <f aca="false">D10*Inputs!$B$6</f>
        <v>1.4</v>
      </c>
      <c r="F10" s="42" t="n">
        <f aca="false">IF(E10=0,"included",1-C10/E10)</f>
        <v>0.804701875178572</v>
      </c>
      <c r="G10" s="14" t="n">
        <f aca="false">Inputs!$B$33</f>
        <v>0.8</v>
      </c>
      <c r="H10" s="12" t="str">
        <f aca="false">IF(D10=0,"Included (fair use)",IF(F10&gt;=G10-0.025,"OK","RAISE"))</f>
        <v>OK</v>
      </c>
      <c r="I10" s="43" t="n">
        <f aca="false">ROUNDUP(C10/(1-G10)/Inputs!$B$6,0)</f>
        <v>137</v>
      </c>
      <c r="J10" s="24" t="n">
        <v>0.02</v>
      </c>
      <c r="K10" s="27" t="n">
        <f aca="false">IF(D10=0,0,C10/D10)</f>
        <v>0.00195298124821429</v>
      </c>
      <c r="L10" s="31" t="s">
        <v>380</v>
      </c>
      <c r="M10" s="44" t="n">
        <v>25</v>
      </c>
    </row>
    <row r="11" customFormat="false" ht="15" hidden="false" customHeight="false" outlineLevel="0" collapsed="false">
      <c r="A11" s="17" t="s">
        <v>381</v>
      </c>
      <c r="B11" s="12" t="s">
        <v>377</v>
      </c>
      <c r="C11" s="13" t="n">
        <f aca="false">'Unit Costs'!$AB$33</f>
        <v>0.031421909375</v>
      </c>
      <c r="D11" s="34" t="n">
        <v>20</v>
      </c>
      <c r="E11" s="39" t="n">
        <f aca="false">D11*Inputs!$B$6</f>
        <v>0.2</v>
      </c>
      <c r="F11" s="42" t="n">
        <f aca="false">IF(E11=0,"included",1-C11/E11)</f>
        <v>0.842890453125</v>
      </c>
      <c r="G11" s="14" t="n">
        <f aca="false">Inputs!$B$33</f>
        <v>0.8</v>
      </c>
      <c r="H11" s="12" t="str">
        <f aca="false">IF(D11=0,"Included (fair use)",IF(F11&gt;=G11-0.025,"OK","RAISE"))</f>
        <v>OK</v>
      </c>
      <c r="I11" s="43" t="n">
        <f aca="false">ROUNDUP(C11/(1-G11)/Inputs!$B$6,0)</f>
        <v>16</v>
      </c>
      <c r="J11" s="24" t="n">
        <v>0</v>
      </c>
      <c r="K11" s="27" t="n">
        <f aca="false">IF(D11=0,0,C11/D11)</f>
        <v>0.00157109546875</v>
      </c>
      <c r="L11" s="31" t="s">
        <v>382</v>
      </c>
      <c r="M11" s="31" t="s">
        <v>383</v>
      </c>
    </row>
    <row r="12" customFormat="false" ht="15" hidden="false" customHeight="false" outlineLevel="0" collapsed="false">
      <c r="A12" s="17" t="s">
        <v>384</v>
      </c>
      <c r="B12" s="12" t="s">
        <v>385</v>
      </c>
      <c r="C12" s="13" t="n">
        <f aca="false">'Unit Costs'!$AB$34</f>
        <v>0.020813277375</v>
      </c>
      <c r="D12" s="34" t="n">
        <v>10</v>
      </c>
      <c r="E12" s="39" t="n">
        <f aca="false">D12*Inputs!$B$6</f>
        <v>0.1</v>
      </c>
      <c r="F12" s="42" t="n">
        <f aca="false">IF(E12=0,"included",1-C12/E12)</f>
        <v>0.79186722625</v>
      </c>
      <c r="G12" s="14" t="n">
        <f aca="false">Inputs!$B$33</f>
        <v>0.8</v>
      </c>
      <c r="H12" s="12" t="str">
        <f aca="false">IF(D12=0,"Included (fair use)",IF(F12&gt;=G12-0.025,"OK","RAISE"))</f>
        <v>OK</v>
      </c>
      <c r="I12" s="43" t="n">
        <f aca="false">ROUNDUP(C12/(1-G12)/Inputs!$B$6,0)</f>
        <v>11</v>
      </c>
      <c r="J12" s="24" t="n">
        <v>0.02</v>
      </c>
      <c r="K12" s="27" t="n">
        <f aca="false">IF(D12=0,0,C12/D12)</f>
        <v>0.0020813277375</v>
      </c>
      <c r="L12" s="31" t="s">
        <v>386</v>
      </c>
      <c r="M12" s="44" t="n">
        <v>6</v>
      </c>
    </row>
    <row r="13" customFormat="false" ht="15" hidden="false" customHeight="false" outlineLevel="0" collapsed="false">
      <c r="A13" s="17" t="s">
        <v>387</v>
      </c>
      <c r="B13" s="12" t="s">
        <v>388</v>
      </c>
      <c r="C13" s="13" t="n">
        <f aca="false">'Unit Costs'!$AB$35</f>
        <v>0.0142820625</v>
      </c>
      <c r="D13" s="34" t="n">
        <v>7</v>
      </c>
      <c r="E13" s="39" t="n">
        <f aca="false">D13*Inputs!$B$6</f>
        <v>0.07</v>
      </c>
      <c r="F13" s="42" t="n">
        <f aca="false">IF(E13=0,"included",1-C13/E13)</f>
        <v>0.795970535714286</v>
      </c>
      <c r="G13" s="14" t="n">
        <f aca="false">Inputs!$B$33</f>
        <v>0.8</v>
      </c>
      <c r="H13" s="12" t="str">
        <f aca="false">IF(D13=0,"Included (fair use)",IF(F13&gt;=G13-0.025,"OK","RAISE"))</f>
        <v>OK</v>
      </c>
      <c r="I13" s="43" t="n">
        <f aca="false">ROUNDUP(C13/(1-G13)/Inputs!$B$6,0)</f>
        <v>8</v>
      </c>
      <c r="J13" s="24" t="n">
        <v>0.02</v>
      </c>
      <c r="K13" s="27" t="n">
        <f aca="false">IF(D13=0,0,C13/D13)</f>
        <v>0.00204029464285714</v>
      </c>
      <c r="L13" s="31" t="s">
        <v>389</v>
      </c>
      <c r="M13" s="31" t="s">
        <v>383</v>
      </c>
    </row>
    <row r="14" customFormat="false" ht="15" hidden="false" customHeight="false" outlineLevel="0" collapsed="false">
      <c r="A14" s="17" t="s">
        <v>390</v>
      </c>
      <c r="B14" s="12" t="s">
        <v>368</v>
      </c>
      <c r="C14" s="13" t="n">
        <f aca="false">'Unit Costs'!$AB$36</f>
        <v>0.01893382125</v>
      </c>
      <c r="D14" s="34" t="n">
        <v>10</v>
      </c>
      <c r="E14" s="39" t="n">
        <f aca="false">D14*Inputs!$B$6</f>
        <v>0.1</v>
      </c>
      <c r="F14" s="42" t="n">
        <f aca="false">IF(E14=0,"included",1-C14/E14)</f>
        <v>0.8106617875</v>
      </c>
      <c r="G14" s="14" t="n">
        <f aca="false">Inputs!$B$33</f>
        <v>0.8</v>
      </c>
      <c r="H14" s="12" t="str">
        <f aca="false">IF(D14=0,"Included (fair use)",IF(F14&gt;=G14-0.025,"OK","RAISE"))</f>
        <v>OK</v>
      </c>
      <c r="I14" s="43" t="n">
        <f aca="false">ROUNDUP(C14/(1-G14)/Inputs!$B$6,0)</f>
        <v>10</v>
      </c>
      <c r="J14" s="24" t="n">
        <v>0.02</v>
      </c>
      <c r="K14" s="27" t="n">
        <f aca="false">IF(D14=0,0,C14/D14)</f>
        <v>0.001893382125</v>
      </c>
      <c r="L14" s="31" t="s">
        <v>391</v>
      </c>
      <c r="M14" s="31" t="s">
        <v>383</v>
      </c>
    </row>
    <row r="15" customFormat="false" ht="15" hidden="false" customHeight="false" outlineLevel="0" collapsed="false">
      <c r="A15" s="17" t="s">
        <v>392</v>
      </c>
      <c r="B15" s="12" t="s">
        <v>393</v>
      </c>
      <c r="C15" s="13" t="n">
        <f aca="false">'Unit Costs'!$AB$16</f>
        <v>0.036783698575</v>
      </c>
      <c r="D15" s="34" t="n">
        <v>15</v>
      </c>
      <c r="E15" s="39" t="n">
        <f aca="false">D15*Inputs!$B$6</f>
        <v>0.15</v>
      </c>
      <c r="F15" s="42" t="n">
        <f aca="false">IF(E15=0,"included",1-C15/E15)</f>
        <v>0.754775342833333</v>
      </c>
      <c r="G15" s="14" t="n">
        <f aca="false">Inputs!$B$34</f>
        <v>0.75</v>
      </c>
      <c r="H15" s="12" t="str">
        <f aca="false">IF(D15=0,"Included (fair use)",IF(F15&gt;=G15-0.025,"OK","RAISE"))</f>
        <v>OK</v>
      </c>
      <c r="I15" s="43" t="n">
        <f aca="false">ROUNDUP(C15/(1-G15)/Inputs!$B$6,0)</f>
        <v>15</v>
      </c>
      <c r="J15" s="24" t="n">
        <v>0.05</v>
      </c>
      <c r="K15" s="27" t="n">
        <f aca="false">IF(D15=0,0,C15/D15)</f>
        <v>0.00245224657166667</v>
      </c>
      <c r="L15" s="31" t="s">
        <v>394</v>
      </c>
      <c r="M15" s="44" t="n">
        <v>12</v>
      </c>
    </row>
    <row r="16" customFormat="false" ht="15" hidden="false" customHeight="false" outlineLevel="0" collapsed="false">
      <c r="A16" s="17" t="s">
        <v>395</v>
      </c>
      <c r="B16" s="12" t="s">
        <v>393</v>
      </c>
      <c r="C16" s="13" t="n">
        <f aca="false">'Unit Costs'!$AB$17</f>
        <v>0.086157698575</v>
      </c>
      <c r="D16" s="34" t="n">
        <v>40</v>
      </c>
      <c r="E16" s="39" t="n">
        <f aca="false">D16*Inputs!$B$6</f>
        <v>0.4</v>
      </c>
      <c r="F16" s="42" t="n">
        <f aca="false">IF(E16=0,"included",1-C16/E16)</f>
        <v>0.7846057535625</v>
      </c>
      <c r="G16" s="14" t="n">
        <f aca="false">Inputs!$B$34</f>
        <v>0.75</v>
      </c>
      <c r="H16" s="12" t="str">
        <f aca="false">IF(D16=0,"Included (fair use)",IF(F16&gt;=G16-0.025,"OK","RAISE"))</f>
        <v>OK</v>
      </c>
      <c r="I16" s="43" t="n">
        <f aca="false">ROUNDUP(C16/(1-G16)/Inputs!$B$6,0)</f>
        <v>35</v>
      </c>
      <c r="J16" s="24" t="n">
        <v>0.03</v>
      </c>
      <c r="K16" s="27" t="n">
        <f aca="false">IF(D16=0,0,C16/D16)</f>
        <v>0.002153942464375</v>
      </c>
      <c r="L16" s="31" t="s">
        <v>396</v>
      </c>
      <c r="M16" s="44" t="n">
        <v>30</v>
      </c>
    </row>
    <row r="17" customFormat="false" ht="15" hidden="false" customHeight="false" outlineLevel="0" collapsed="false">
      <c r="A17" s="17" t="s">
        <v>397</v>
      </c>
      <c r="B17" s="12" t="s">
        <v>398</v>
      </c>
      <c r="C17" s="13" t="n">
        <f aca="false">'Unit Costs'!$AB$18</f>
        <v>0.05023915275</v>
      </c>
      <c r="D17" s="34" t="n">
        <v>20</v>
      </c>
      <c r="E17" s="39" t="n">
        <f aca="false">D17*Inputs!$B$6</f>
        <v>0.2</v>
      </c>
      <c r="F17" s="42" t="n">
        <f aca="false">IF(E17=0,"included",1-C17/E17)</f>
        <v>0.74880423625</v>
      </c>
      <c r="G17" s="14" t="n">
        <f aca="false">Inputs!$B$34</f>
        <v>0.75</v>
      </c>
      <c r="H17" s="12" t="str">
        <f aca="false">IF(D17=0,"Included (fair use)",IF(F17&gt;=G17-0.025,"OK","RAISE"))</f>
        <v>OK</v>
      </c>
      <c r="I17" s="43" t="n">
        <f aca="false">ROUNDUP(C17/(1-G17)/Inputs!$B$6,0)</f>
        <v>21</v>
      </c>
      <c r="J17" s="24" t="n">
        <v>0.02</v>
      </c>
      <c r="K17" s="27" t="n">
        <f aca="false">IF(D17=0,0,C17/D17)</f>
        <v>0.0025119576375</v>
      </c>
      <c r="L17" s="31" t="s">
        <v>399</v>
      </c>
      <c r="M17" s="31" t="s">
        <v>383</v>
      </c>
    </row>
    <row r="18" customFormat="false" ht="15" hidden="false" customHeight="false" outlineLevel="0" collapsed="false">
      <c r="A18" s="17" t="s">
        <v>400</v>
      </c>
      <c r="B18" s="12" t="s">
        <v>401</v>
      </c>
      <c r="C18" s="13" t="n">
        <f aca="false">'Unit Costs'!$AB$37</f>
        <v>0.10645081875</v>
      </c>
      <c r="D18" s="34" t="n">
        <v>55</v>
      </c>
      <c r="E18" s="39" t="n">
        <f aca="false">D18*Inputs!$B$6</f>
        <v>0.55</v>
      </c>
      <c r="F18" s="42" t="n">
        <f aca="false">IF(E18=0,"included",1-C18/E18)</f>
        <v>0.806453056818182</v>
      </c>
      <c r="G18" s="14" t="n">
        <f aca="false">Inputs!$B$33</f>
        <v>0.8</v>
      </c>
      <c r="H18" s="12" t="str">
        <f aca="false">IF(D18=0,"Included (fair use)",IF(F18&gt;=G18-0.025,"OK","RAISE"))</f>
        <v>OK</v>
      </c>
      <c r="I18" s="43" t="n">
        <f aca="false">ROUNDUP(C18/(1-G18)/Inputs!$B$6,0)</f>
        <v>54</v>
      </c>
      <c r="J18" s="24" t="n">
        <v>0.02</v>
      </c>
      <c r="K18" s="27" t="n">
        <f aca="false">IF(D18=0,0,C18/D18)</f>
        <v>0.00193546943181818</v>
      </c>
      <c r="L18" s="31" t="s">
        <v>402</v>
      </c>
      <c r="M18" s="44" t="n">
        <v>20</v>
      </c>
    </row>
    <row r="19" customFormat="false" ht="15" hidden="false" customHeight="false" outlineLevel="0" collapsed="false">
      <c r="A19" s="17" t="s">
        <v>403</v>
      </c>
      <c r="B19" s="12" t="s">
        <v>404</v>
      </c>
      <c r="C19" s="13" t="n">
        <f aca="false">'Unit Costs'!$AB$24</f>
        <v>0.234385407875</v>
      </c>
      <c r="D19" s="34" t="n">
        <v>125</v>
      </c>
      <c r="E19" s="39" t="n">
        <f aca="false">D19*Inputs!$B$6</f>
        <v>1.25</v>
      </c>
      <c r="F19" s="42" t="n">
        <f aca="false">IF(E19=0,"included",1-C19/E19)</f>
        <v>0.8124916737</v>
      </c>
      <c r="G19" s="14" t="n">
        <f aca="false">Inputs!$B$33</f>
        <v>0.8</v>
      </c>
      <c r="H19" s="12" t="str">
        <f aca="false">IF(D19=0,"Included (fair use)",IF(F19&gt;=G19-0.025,"OK","RAISE"))</f>
        <v>OK</v>
      </c>
      <c r="I19" s="43" t="n">
        <f aca="false">ROUNDUP(C19/(1-G19)/Inputs!$B$6,0)</f>
        <v>118</v>
      </c>
      <c r="J19" s="24" t="n">
        <v>0.01</v>
      </c>
      <c r="K19" s="27" t="n">
        <f aca="false">IF(D19=0,0,C19/D19)</f>
        <v>0.001875083263</v>
      </c>
      <c r="L19" s="31" t="s">
        <v>405</v>
      </c>
      <c r="M19" s="44" t="n">
        <v>40</v>
      </c>
    </row>
    <row r="20" customFormat="false" ht="15" hidden="false" customHeight="false" outlineLevel="0" collapsed="false">
      <c r="A20" s="17" t="s">
        <v>406</v>
      </c>
      <c r="B20" s="12" t="s">
        <v>407</v>
      </c>
      <c r="C20" s="13" t="n">
        <f aca="false">'Unit Costs'!$AB$25</f>
        <v>0.08279508125</v>
      </c>
      <c r="D20" s="34" t="n">
        <v>45</v>
      </c>
      <c r="E20" s="39" t="n">
        <f aca="false">D20*Inputs!$B$6</f>
        <v>0.45</v>
      </c>
      <c r="F20" s="42" t="n">
        <f aca="false">IF(E20=0,"included",1-C20/E20)</f>
        <v>0.816010930555556</v>
      </c>
      <c r="G20" s="14" t="n">
        <f aca="false">Inputs!$B$33</f>
        <v>0.8</v>
      </c>
      <c r="H20" s="12" t="str">
        <f aca="false">IF(D20=0,"Included (fair use)",IF(F20&gt;=G20-0.025,"OK","RAISE"))</f>
        <v>OK</v>
      </c>
      <c r="I20" s="43" t="n">
        <f aca="false">ROUNDUP(C20/(1-G20)/Inputs!$B$6,0)</f>
        <v>42</v>
      </c>
      <c r="J20" s="24" t="n">
        <v>0.005</v>
      </c>
      <c r="K20" s="27" t="n">
        <f aca="false">IF(D20=0,0,C20/D20)</f>
        <v>0.00183989069444444</v>
      </c>
      <c r="L20" s="31" t="s">
        <v>408</v>
      </c>
      <c r="M20" s="31" t="s">
        <v>383</v>
      </c>
    </row>
    <row r="21" customFormat="false" ht="15" hidden="false" customHeight="false" outlineLevel="0" collapsed="false">
      <c r="A21" s="17" t="s">
        <v>409</v>
      </c>
      <c r="B21" s="12" t="s">
        <v>410</v>
      </c>
      <c r="C21" s="13" t="n">
        <f aca="false">'Unit Costs'!$AB$23</f>
        <v>0.0077876935</v>
      </c>
      <c r="D21" s="34" t="n">
        <v>4</v>
      </c>
      <c r="E21" s="39" t="n">
        <f aca="false">D21*Inputs!$B$6</f>
        <v>0.04</v>
      </c>
      <c r="F21" s="42" t="n">
        <f aca="false">IF(E21=0,"included",1-C21/E21)</f>
        <v>0.8053076625</v>
      </c>
      <c r="G21" s="14" t="n">
        <f aca="false">Inputs!$B$33</f>
        <v>0.8</v>
      </c>
      <c r="H21" s="12" t="str">
        <f aca="false">IF(D21=0,"Included (fair use)",IF(F21&gt;=G21-0.025,"OK","RAISE"))</f>
        <v>OK</v>
      </c>
      <c r="I21" s="43" t="n">
        <f aca="false">ROUNDUP(C21/(1-G21)/Inputs!$B$6,0)</f>
        <v>4</v>
      </c>
      <c r="J21" s="24" t="n">
        <v>0.01</v>
      </c>
      <c r="K21" s="27" t="n">
        <f aca="false">IF(D21=0,0,C21/D21)</f>
        <v>0.001946923375</v>
      </c>
      <c r="L21" s="31" t="s">
        <v>411</v>
      </c>
      <c r="M21" s="44" t="n">
        <v>10</v>
      </c>
    </row>
    <row r="22" customFormat="false" ht="15" hidden="false" customHeight="false" outlineLevel="0" collapsed="false">
      <c r="A22" s="17" t="s">
        <v>412</v>
      </c>
      <c r="B22" s="12" t="s">
        <v>413</v>
      </c>
      <c r="C22" s="13" t="n">
        <f aca="false">'Unit Costs'!$AB$38</f>
        <v>0.195909269625</v>
      </c>
      <c r="D22" s="34" t="n">
        <v>100</v>
      </c>
      <c r="E22" s="39" t="n">
        <f aca="false">D22*Inputs!$B$6</f>
        <v>1</v>
      </c>
      <c r="F22" s="42" t="n">
        <f aca="false">IF(E22=0,"included",1-C22/E22)</f>
        <v>0.804090730375</v>
      </c>
      <c r="G22" s="14" t="n">
        <f aca="false">Inputs!$B$33</f>
        <v>0.8</v>
      </c>
      <c r="H22" s="12" t="str">
        <f aca="false">IF(D22=0,"Included (fair use)",IF(F22&gt;=G22-0.025,"OK","RAISE"))</f>
        <v>OK</v>
      </c>
      <c r="I22" s="43" t="n">
        <f aca="false">ROUNDUP(C22/(1-G22)/Inputs!$B$6,0)</f>
        <v>98</v>
      </c>
      <c r="J22" s="24" t="n">
        <v>0.04</v>
      </c>
      <c r="K22" s="27" t="n">
        <f aca="false">IF(D22=0,0,C22/D22)</f>
        <v>0.00195909269625</v>
      </c>
      <c r="L22" s="31" t="s">
        <v>414</v>
      </c>
      <c r="M22" s="44" t="n">
        <v>50</v>
      </c>
    </row>
    <row r="23" customFormat="false" ht="15" hidden="false" customHeight="false" outlineLevel="0" collapsed="false">
      <c r="A23" s="17" t="s">
        <v>415</v>
      </c>
      <c r="B23" s="12" t="s">
        <v>407</v>
      </c>
      <c r="C23" s="13" t="n">
        <f aca="false">'Unit Costs'!$AB$39</f>
        <v>0.374746645125</v>
      </c>
      <c r="D23" s="34" t="n">
        <v>200</v>
      </c>
      <c r="E23" s="39" t="n">
        <f aca="false">D23*Inputs!$B$6</f>
        <v>2</v>
      </c>
      <c r="F23" s="42" t="n">
        <f aca="false">IF(E23=0,"included",1-C23/E23)</f>
        <v>0.8126266774375</v>
      </c>
      <c r="G23" s="14" t="n">
        <f aca="false">Inputs!$B$33</f>
        <v>0.8</v>
      </c>
      <c r="H23" s="12" t="str">
        <f aca="false">IF(D23=0,"Included (fair use)",IF(F23&gt;=G23-0.025,"OK","RAISE"))</f>
        <v>OK</v>
      </c>
      <c r="I23" s="43" t="n">
        <f aca="false">ROUNDUP(C23/(1-G23)/Inputs!$B$6,0)</f>
        <v>188</v>
      </c>
      <c r="J23" s="24" t="n">
        <v>0.02</v>
      </c>
      <c r="K23" s="27" t="n">
        <f aca="false">IF(D23=0,0,C23/D23)</f>
        <v>0.001873733225625</v>
      </c>
      <c r="L23" s="31" t="s">
        <v>416</v>
      </c>
      <c r="M23" s="44" t="n">
        <v>150</v>
      </c>
    </row>
    <row r="24" customFormat="false" ht="15" hidden="false" customHeight="false" outlineLevel="0" collapsed="false">
      <c r="A24" s="17" t="s">
        <v>417</v>
      </c>
      <c r="B24" s="12" t="s">
        <v>418</v>
      </c>
      <c r="C24" s="13" t="n">
        <f aca="false">'Unit Costs'!$AB$40</f>
        <v>0.2434393425</v>
      </c>
      <c r="D24" s="34" t="n">
        <v>125</v>
      </c>
      <c r="E24" s="39" t="n">
        <f aca="false">D24*Inputs!$B$6</f>
        <v>1.25</v>
      </c>
      <c r="F24" s="42" t="n">
        <f aca="false">IF(E24=0,"included",1-C24/E24)</f>
        <v>0.805248526</v>
      </c>
      <c r="G24" s="14" t="n">
        <f aca="false">Inputs!$B$33</f>
        <v>0.8</v>
      </c>
      <c r="H24" s="12" t="str">
        <f aca="false">IF(D24=0,"Included (fair use)",IF(F24&gt;=G24-0.025,"OK","RAISE"))</f>
        <v>OK</v>
      </c>
      <c r="I24" s="43" t="n">
        <f aca="false">ROUNDUP(C24/(1-G24)/Inputs!$B$6,0)</f>
        <v>122</v>
      </c>
      <c r="J24" s="24" t="n">
        <v>0.02</v>
      </c>
      <c r="K24" s="27" t="n">
        <f aca="false">IF(D24=0,0,C24/D24)</f>
        <v>0.00194751474</v>
      </c>
      <c r="L24" s="31" t="s">
        <v>419</v>
      </c>
      <c r="M24" s="44" t="n">
        <v>60</v>
      </c>
    </row>
    <row r="25" customFormat="false" ht="15" hidden="false" customHeight="false" outlineLevel="0" collapsed="false">
      <c r="A25" s="17" t="s">
        <v>420</v>
      </c>
      <c r="B25" s="12" t="s">
        <v>407</v>
      </c>
      <c r="C25" s="13" t="n">
        <f aca="false">'Unit Costs'!$AB$41</f>
        <v>0.05139116375</v>
      </c>
      <c r="D25" s="34" t="n">
        <v>25</v>
      </c>
      <c r="E25" s="39" t="n">
        <f aca="false">D25*Inputs!$B$6</f>
        <v>0.25</v>
      </c>
      <c r="F25" s="42" t="n">
        <f aca="false">IF(E25=0,"included",1-C25/E25)</f>
        <v>0.794435345</v>
      </c>
      <c r="G25" s="14" t="n">
        <f aca="false">Inputs!$B$33</f>
        <v>0.8</v>
      </c>
      <c r="H25" s="12" t="str">
        <f aca="false">IF(D25=0,"Included (fair use)",IF(F25&gt;=G25-0.025,"OK","RAISE"))</f>
        <v>OK</v>
      </c>
      <c r="I25" s="43" t="n">
        <f aca="false">ROUNDUP(C25/(1-G25)/Inputs!$B$6,0)</f>
        <v>26</v>
      </c>
      <c r="J25" s="24" t="n">
        <v>0.01</v>
      </c>
      <c r="K25" s="27" t="n">
        <f aca="false">IF(D25=0,0,C25/D25)</f>
        <v>0.00205564655</v>
      </c>
      <c r="L25" s="31" t="s">
        <v>421</v>
      </c>
      <c r="M25" s="44" t="n">
        <v>40</v>
      </c>
    </row>
    <row r="26" customFormat="false" ht="15" hidden="false" customHeight="false" outlineLevel="0" collapsed="false">
      <c r="A26" s="17" t="s">
        <v>422</v>
      </c>
      <c r="B26" s="12" t="s">
        <v>423</v>
      </c>
      <c r="C26" s="13" t="n">
        <f aca="false">'Unit Costs'!$AB$42</f>
        <v>0.03069746875</v>
      </c>
      <c r="D26" s="34" t="n">
        <v>15</v>
      </c>
      <c r="E26" s="39" t="n">
        <f aca="false">D26*Inputs!$B$6</f>
        <v>0.15</v>
      </c>
      <c r="F26" s="42" t="n">
        <f aca="false">IF(E26=0,"included",1-C26/E26)</f>
        <v>0.795350208333333</v>
      </c>
      <c r="G26" s="14" t="n">
        <f aca="false">Inputs!$B$33</f>
        <v>0.8</v>
      </c>
      <c r="H26" s="12" t="str">
        <f aca="false">IF(D26=0,"Included (fair use)",IF(F26&gt;=G26-0.025,"OK","RAISE"))</f>
        <v>OK</v>
      </c>
      <c r="I26" s="43" t="n">
        <f aca="false">ROUNDUP(C26/(1-G26)/Inputs!$B$6,0)</f>
        <v>16</v>
      </c>
      <c r="J26" s="24" t="n">
        <v>0.01</v>
      </c>
      <c r="K26" s="27" t="n">
        <f aca="false">IF(D26=0,0,C26/D26)</f>
        <v>0.00204649791666667</v>
      </c>
      <c r="L26" s="31" t="s">
        <v>424</v>
      </c>
      <c r="M26" s="44" t="n">
        <v>25</v>
      </c>
    </row>
    <row r="27" customFormat="false" ht="15" hidden="false" customHeight="false" outlineLevel="0" collapsed="false">
      <c r="A27" s="17" t="s">
        <v>425</v>
      </c>
      <c r="B27" s="12" t="s">
        <v>426</v>
      </c>
      <c r="C27" s="13" t="n">
        <f aca="false">'Unit Costs'!$AB$44</f>
        <v>0.0567688275</v>
      </c>
      <c r="D27" s="34" t="n">
        <v>30</v>
      </c>
      <c r="E27" s="39" t="n">
        <f aca="false">D27*Inputs!$B$6</f>
        <v>0.3</v>
      </c>
      <c r="F27" s="42" t="n">
        <f aca="false">IF(E27=0,"included",1-C27/E27)</f>
        <v>0.810770575</v>
      </c>
      <c r="G27" s="14" t="n">
        <f aca="false">Inputs!$B$33</f>
        <v>0.8</v>
      </c>
      <c r="H27" s="12" t="str">
        <f aca="false">IF(D27=0,"Included (fair use)",IF(F27&gt;=G27-0.025,"OK","RAISE"))</f>
        <v>OK</v>
      </c>
      <c r="I27" s="43" t="n">
        <f aca="false">ROUNDUP(C27/(1-G27)/Inputs!$B$6,0)</f>
        <v>29</v>
      </c>
      <c r="J27" s="24" t="n">
        <v>0.01</v>
      </c>
      <c r="K27" s="27" t="n">
        <f aca="false">IF(D27=0,0,C27/D27)</f>
        <v>0.00189229425</v>
      </c>
      <c r="L27" s="31" t="s">
        <v>427</v>
      </c>
      <c r="M27" s="44" t="n">
        <v>50</v>
      </c>
    </row>
    <row r="28" customFormat="false" ht="15" hidden="false" customHeight="false" outlineLevel="0" collapsed="false">
      <c r="A28" s="17" t="s">
        <v>428</v>
      </c>
      <c r="B28" s="12" t="s">
        <v>418</v>
      </c>
      <c r="C28" s="13" t="n">
        <f aca="false">'Unit Costs'!$AB$45</f>
        <v>0.01680615</v>
      </c>
      <c r="D28" s="34" t="n">
        <v>8</v>
      </c>
      <c r="E28" s="39" t="n">
        <f aca="false">D28*Inputs!$B$6</f>
        <v>0.08</v>
      </c>
      <c r="F28" s="42" t="n">
        <f aca="false">IF(E28=0,"included",1-C28/E28)</f>
        <v>0.789923125</v>
      </c>
      <c r="G28" s="14" t="n">
        <f aca="false">Inputs!$B$33</f>
        <v>0.8</v>
      </c>
      <c r="H28" s="12" t="str">
        <f aca="false">IF(D28=0,"Included (fair use)",IF(F28&gt;=G28-0.025,"OK","RAISE"))</f>
        <v>OK</v>
      </c>
      <c r="I28" s="43" t="n">
        <f aca="false">ROUNDUP(C28/(1-G28)/Inputs!$B$6,0)</f>
        <v>9</v>
      </c>
      <c r="J28" s="24" t="n">
        <v>0.01</v>
      </c>
      <c r="K28" s="27" t="n">
        <f aca="false">IF(D28=0,0,C28/D28)</f>
        <v>0.00210076875</v>
      </c>
      <c r="L28" s="31" t="s">
        <v>429</v>
      </c>
      <c r="M28" s="31" t="s">
        <v>383</v>
      </c>
    </row>
    <row r="29" customFormat="false" ht="15" hidden="false" customHeight="false" outlineLevel="0" collapsed="false">
      <c r="A29" s="17" t="s">
        <v>430</v>
      </c>
      <c r="B29" s="12" t="s">
        <v>431</v>
      </c>
      <c r="C29" s="13" t="n">
        <f aca="false">'Unit Costs'!$AB$46</f>
        <v>0.07</v>
      </c>
      <c r="D29" s="34" t="n">
        <v>35</v>
      </c>
      <c r="E29" s="39" t="n">
        <f aca="false">D29*Inputs!$B$6</f>
        <v>0.35</v>
      </c>
      <c r="F29" s="42" t="n">
        <f aca="false">IF(E29=0,"included",1-C29/E29)</f>
        <v>0.8</v>
      </c>
      <c r="G29" s="14" t="n">
        <f aca="false">Inputs!$B$33</f>
        <v>0.8</v>
      </c>
      <c r="H29" s="12" t="str">
        <f aca="false">IF(D29=0,"Included (fair use)",IF(F29&gt;=G29-0.025,"OK","RAISE"))</f>
        <v>OK</v>
      </c>
      <c r="I29" s="43" t="n">
        <f aca="false">ROUNDUP(C29/(1-G29)/Inputs!$B$6,0)</f>
        <v>35</v>
      </c>
      <c r="J29" s="24" t="n">
        <v>0.01</v>
      </c>
      <c r="K29" s="27" t="n">
        <f aca="false">IF(D29=0,0,C29/D29)</f>
        <v>0.002</v>
      </c>
      <c r="L29" s="31" t="s">
        <v>432</v>
      </c>
      <c r="M29" s="44" t="n">
        <v>35</v>
      </c>
    </row>
    <row r="30" customFormat="false" ht="15" hidden="false" customHeight="false" outlineLevel="0" collapsed="false">
      <c r="A30" s="17" t="s">
        <v>433</v>
      </c>
      <c r="B30" s="12" t="s">
        <v>434</v>
      </c>
      <c r="C30" s="13" t="n">
        <f aca="false">'Unit Costs'!$AB$50</f>
        <v>0.0159173125</v>
      </c>
      <c r="D30" s="34" t="n">
        <v>8</v>
      </c>
      <c r="E30" s="39" t="n">
        <f aca="false">D30*Inputs!$B$6</f>
        <v>0.08</v>
      </c>
      <c r="F30" s="42" t="n">
        <f aca="false">IF(E30=0,"included",1-C30/E30)</f>
        <v>0.80103359375</v>
      </c>
      <c r="G30" s="14" t="n">
        <f aca="false">Inputs!$B$33</f>
        <v>0.8</v>
      </c>
      <c r="H30" s="12" t="str">
        <f aca="false">IF(D30=0,"Included (fair use)",IF(F30&gt;=G30-0.025,"OK","RAISE"))</f>
        <v>OK</v>
      </c>
      <c r="I30" s="43" t="n">
        <f aca="false">ROUNDUP(C30/(1-G30)/Inputs!$B$6,0)</f>
        <v>8</v>
      </c>
      <c r="J30" s="24" t="n">
        <v>0.02</v>
      </c>
      <c r="K30" s="27" t="n">
        <f aca="false">IF(D30=0,0,C30/D30)</f>
        <v>0.0019896640625</v>
      </c>
      <c r="L30" s="31" t="s">
        <v>435</v>
      </c>
      <c r="M30" s="31" t="s">
        <v>383</v>
      </c>
    </row>
    <row r="31" customFormat="false" ht="15" hidden="false" customHeight="false" outlineLevel="0" collapsed="false">
      <c r="A31" s="17" t="s">
        <v>436</v>
      </c>
      <c r="B31" s="12" t="s">
        <v>437</v>
      </c>
      <c r="C31" s="13" t="n">
        <f aca="false">'Unit Costs'!$AB$53</f>
        <v>0.28623442375</v>
      </c>
      <c r="D31" s="34" t="n">
        <v>150</v>
      </c>
      <c r="E31" s="39" t="n">
        <f aca="false">D31*Inputs!$B$6</f>
        <v>1.5</v>
      </c>
      <c r="F31" s="42" t="n">
        <f aca="false">IF(E31=0,"included",1-C31/E31)</f>
        <v>0.809177050833333</v>
      </c>
      <c r="G31" s="14" t="n">
        <f aca="false">Inputs!$B$33</f>
        <v>0.8</v>
      </c>
      <c r="H31" s="12" t="str">
        <f aca="false">IF(D31=0,"Included (fair use)",IF(F31&gt;=G31-0.025,"OK","RAISE"))</f>
        <v>OK</v>
      </c>
      <c r="I31" s="43" t="n">
        <f aca="false">ROUNDUP(C31/(1-G31)/Inputs!$B$6,0)</f>
        <v>144</v>
      </c>
      <c r="J31" s="24" t="n">
        <v>0.06</v>
      </c>
      <c r="K31" s="27" t="n">
        <f aca="false">IF(D31=0,0,C31/D31)</f>
        <v>0.00190822949166667</v>
      </c>
      <c r="L31" s="31" t="s">
        <v>438</v>
      </c>
      <c r="M31" s="44" t="n">
        <v>50</v>
      </c>
    </row>
    <row r="32" customFormat="false" ht="15" hidden="false" customHeight="false" outlineLevel="0" collapsed="false">
      <c r="A32" s="17" t="s">
        <v>439</v>
      </c>
      <c r="B32" s="12" t="s">
        <v>440</v>
      </c>
      <c r="C32" s="13" t="n">
        <f aca="false">'Unit Costs'!$AB$54</f>
        <v>0.107060529625</v>
      </c>
      <c r="D32" s="34" t="n">
        <v>55</v>
      </c>
      <c r="E32" s="39" t="n">
        <f aca="false">D32*Inputs!$B$6</f>
        <v>0.55</v>
      </c>
      <c r="F32" s="42" t="n">
        <f aca="false">IF(E32=0,"included",1-C32/E32)</f>
        <v>0.805344491590909</v>
      </c>
      <c r="G32" s="14" t="n">
        <f aca="false">Inputs!$B$33</f>
        <v>0.8</v>
      </c>
      <c r="H32" s="12" t="str">
        <f aca="false">IF(D32=0,"Included (fair use)",IF(F32&gt;=G32-0.025,"OK","RAISE"))</f>
        <v>OK</v>
      </c>
      <c r="I32" s="43" t="n">
        <f aca="false">ROUNDUP(C32/(1-G32)/Inputs!$B$6,0)</f>
        <v>54</v>
      </c>
      <c r="J32" s="24" t="n">
        <v>0.03</v>
      </c>
      <c r="K32" s="27" t="n">
        <f aca="false">IF(D32=0,0,C32/D32)</f>
        <v>0.00194655508409091</v>
      </c>
      <c r="L32" s="31" t="s">
        <v>441</v>
      </c>
      <c r="M32" s="44" t="n">
        <v>60</v>
      </c>
    </row>
    <row r="33" customFormat="false" ht="15" hidden="false" customHeight="false" outlineLevel="0" collapsed="false">
      <c r="A33" s="17" t="s">
        <v>442</v>
      </c>
      <c r="B33" s="12" t="s">
        <v>407</v>
      </c>
      <c r="C33" s="13" t="n">
        <f aca="false">'Unit Costs'!$AB$55</f>
        <v>1.6</v>
      </c>
      <c r="D33" s="34" t="n">
        <v>800</v>
      </c>
      <c r="E33" s="39" t="n">
        <f aca="false">D33*Inputs!$B$6</f>
        <v>8</v>
      </c>
      <c r="F33" s="42" t="n">
        <f aca="false">IF(E33=0,"included",1-C33/E33)</f>
        <v>0.8</v>
      </c>
      <c r="G33" s="14" t="n">
        <f aca="false">Inputs!$B$33</f>
        <v>0.8</v>
      </c>
      <c r="H33" s="12" t="str">
        <f aca="false">IF(D33=0,"Included (fair use)",IF(F33&gt;=G33-0.025,"OK","RAISE"))</f>
        <v>OK</v>
      </c>
      <c r="I33" s="43" t="n">
        <f aca="false">ROUNDUP(C33/(1-G33)/Inputs!$B$6,0)</f>
        <v>800</v>
      </c>
      <c r="J33" s="24" t="n">
        <v>0.03</v>
      </c>
      <c r="K33" s="27" t="n">
        <f aca="false">IF(D33=0,0,C33/D33)</f>
        <v>0.002</v>
      </c>
      <c r="L33" s="31" t="s">
        <v>443</v>
      </c>
      <c r="M33" s="44" t="n">
        <v>400</v>
      </c>
    </row>
    <row r="34" customFormat="false" ht="15" hidden="false" customHeight="false" outlineLevel="0" collapsed="false">
      <c r="A34" s="17" t="s">
        <v>444</v>
      </c>
      <c r="B34" s="12" t="s">
        <v>445</v>
      </c>
      <c r="C34" s="13" t="n">
        <f aca="false">'Unit Costs'!$AB$56</f>
        <v>0.1436208425</v>
      </c>
      <c r="D34" s="34" t="n">
        <v>70</v>
      </c>
      <c r="E34" s="39" t="n">
        <f aca="false">D34*Inputs!$B$6</f>
        <v>0.7</v>
      </c>
      <c r="F34" s="42" t="n">
        <f aca="false">IF(E34=0,"included",1-C34/E34)</f>
        <v>0.794827367857143</v>
      </c>
      <c r="G34" s="14" t="n">
        <f aca="false">Inputs!$B$33</f>
        <v>0.8</v>
      </c>
      <c r="H34" s="12" t="str">
        <f aca="false">IF(D34=0,"Included (fair use)",IF(F34&gt;=G34-0.025,"OK","RAISE"))</f>
        <v>OK</v>
      </c>
      <c r="I34" s="43" t="n">
        <f aca="false">ROUNDUP(C34/(1-G34)/Inputs!$B$6,0)</f>
        <v>72</v>
      </c>
      <c r="J34" s="24" t="n">
        <v>0.01</v>
      </c>
      <c r="K34" s="27" t="n">
        <f aca="false">IF(D34=0,0,C34/D34)</f>
        <v>0.00205172632142857</v>
      </c>
      <c r="L34" s="31" t="s">
        <v>446</v>
      </c>
      <c r="M34" s="44" t="n">
        <v>80</v>
      </c>
    </row>
    <row r="35" customFormat="false" ht="15" hidden="false" customHeight="false" outlineLevel="0" collapsed="false">
      <c r="A35" s="17" t="s">
        <v>447</v>
      </c>
      <c r="B35" s="12" t="s">
        <v>448</v>
      </c>
      <c r="C35" s="13" t="n">
        <f aca="false">'Unit Costs'!$AB$57</f>
        <v>0.0512745825</v>
      </c>
      <c r="D35" s="34" t="n">
        <v>25</v>
      </c>
      <c r="E35" s="39" t="n">
        <f aca="false">D35*Inputs!$B$6</f>
        <v>0.25</v>
      </c>
      <c r="F35" s="42" t="n">
        <f aca="false">IF(E35=0,"included",1-C35/E35)</f>
        <v>0.79490167</v>
      </c>
      <c r="G35" s="14" t="n">
        <f aca="false">Inputs!$B$33</f>
        <v>0.8</v>
      </c>
      <c r="H35" s="12" t="str">
        <f aca="false">IF(D35=0,"Included (fair use)",IF(F35&gt;=G35-0.025,"OK","RAISE"))</f>
        <v>OK</v>
      </c>
      <c r="I35" s="43" t="n">
        <f aca="false">ROUNDUP(C35/(1-G35)/Inputs!$B$6,0)</f>
        <v>26</v>
      </c>
      <c r="J35" s="24" t="n">
        <v>0.03</v>
      </c>
      <c r="K35" s="27" t="n">
        <f aca="false">IF(D35=0,0,C35/D35)</f>
        <v>0.0020509833</v>
      </c>
      <c r="L35" s="31" t="s">
        <v>449</v>
      </c>
      <c r="M35" s="44" t="n">
        <v>50</v>
      </c>
    </row>
    <row r="36" customFormat="false" ht="15" hidden="false" customHeight="false" outlineLevel="0" collapsed="false">
      <c r="A36" s="17" t="s">
        <v>450</v>
      </c>
      <c r="B36" s="12" t="s">
        <v>451</v>
      </c>
      <c r="C36" s="13" t="n">
        <f aca="false">'Unit Costs'!$AB$20</f>
        <v>0.04822555021875</v>
      </c>
      <c r="D36" s="34" t="n">
        <v>25</v>
      </c>
      <c r="E36" s="39" t="n">
        <f aca="false">D36*Inputs!$B$6</f>
        <v>0.25</v>
      </c>
      <c r="F36" s="42" t="n">
        <f aca="false">IF(E36=0,"included",1-C36/E36)</f>
        <v>0.807097799125</v>
      </c>
      <c r="G36" s="14" t="n">
        <f aca="false">Inputs!$B$33</f>
        <v>0.8</v>
      </c>
      <c r="H36" s="12" t="str">
        <f aca="false">IF(D36=0,"Included (fair use)",IF(F36&gt;=G36-0.025,"OK","RAISE"))</f>
        <v>OK</v>
      </c>
      <c r="I36" s="43" t="n">
        <f aca="false">ROUNDUP(C36/(1-G36)/Inputs!$B$6,0)</f>
        <v>25</v>
      </c>
      <c r="J36" s="24" t="n">
        <v>0.035</v>
      </c>
      <c r="K36" s="27" t="n">
        <f aca="false">IF(D36=0,0,C36/D36)</f>
        <v>0.00192902200875</v>
      </c>
      <c r="L36" s="31" t="s">
        <v>452</v>
      </c>
      <c r="M36" s="31" t="s">
        <v>383</v>
      </c>
    </row>
    <row r="37" customFormat="false" ht="15" hidden="false" customHeight="false" outlineLevel="0" collapsed="false">
      <c r="A37" s="17" t="s">
        <v>453</v>
      </c>
      <c r="B37" s="12" t="s">
        <v>451</v>
      </c>
      <c r="C37" s="13" t="n">
        <f aca="false">'Unit Costs'!$AB$19</f>
        <v>0.00893005753125</v>
      </c>
      <c r="D37" s="34" t="n">
        <v>0</v>
      </c>
      <c r="E37" s="39" t="n">
        <f aca="false">D37*Inputs!$B$6</f>
        <v>0</v>
      </c>
      <c r="F37" s="42" t="str">
        <f aca="false">IF(E37=0,"included",1-C37/E37)</f>
        <v>included</v>
      </c>
      <c r="G37" s="14" t="n">
        <f aca="false">Inputs!$B$33</f>
        <v>0.8</v>
      </c>
      <c r="H37" s="12" t="str">
        <f aca="false">IF(D37=0,"Included (fair use)",IF(F37&gt;=G37-0.025,"OK","RAISE"))</f>
        <v>Included (fair use)</v>
      </c>
      <c r="I37" s="43" t="n">
        <f aca="false">ROUNDUP(C37/(1-G37)/Inputs!$B$6,0)</f>
        <v>5</v>
      </c>
      <c r="J37" s="24" t="n">
        <v>0</v>
      </c>
      <c r="K37" s="27" t="n">
        <f aca="false">IF(D37=0,0,C37/D37)</f>
        <v>0</v>
      </c>
      <c r="L37" s="31" t="s">
        <v>454</v>
      </c>
      <c r="M37" s="44" t="n">
        <v>0</v>
      </c>
    </row>
    <row r="38" customFormat="false" ht="15" hidden="false" customHeight="false" outlineLevel="0" collapsed="false">
      <c r="A38" s="17" t="s">
        <v>455</v>
      </c>
      <c r="B38" s="12" t="s">
        <v>456</v>
      </c>
      <c r="C38" s="13" t="n">
        <f aca="false">'Unit Costs'!$AB$58</f>
        <v>0.03008569875</v>
      </c>
      <c r="D38" s="34" t="n">
        <v>0</v>
      </c>
      <c r="E38" s="39" t="n">
        <f aca="false">D38*Inputs!$B$6</f>
        <v>0</v>
      </c>
      <c r="F38" s="42" t="str">
        <f aca="false">IF(E38=0,"included",1-C38/E38)</f>
        <v>included</v>
      </c>
      <c r="G38" s="14" t="n">
        <f aca="false">Inputs!$B$33</f>
        <v>0.8</v>
      </c>
      <c r="H38" s="12" t="str">
        <f aca="false">IF(D38=0,"Included (fair use)",IF(F38&gt;=G38-0.025,"OK","RAISE"))</f>
        <v>Included (fair use)</v>
      </c>
      <c r="I38" s="43" t="n">
        <f aca="false">ROUNDUP(C38/(1-G38)/Inputs!$B$6,0)</f>
        <v>16</v>
      </c>
      <c r="J38" s="24" t="n">
        <v>0</v>
      </c>
      <c r="K38" s="27" t="n">
        <f aca="false">IF(D38=0,0,C38/D38)</f>
        <v>0</v>
      </c>
      <c r="L38" s="31" t="s">
        <v>457</v>
      </c>
      <c r="M38" s="44" t="n">
        <v>0</v>
      </c>
    </row>
    <row r="39" customFormat="false" ht="15" hidden="false" customHeight="false" outlineLevel="0" collapsed="false">
      <c r="A39" s="2"/>
      <c r="B39" s="2"/>
      <c r="C39" s="2"/>
      <c r="D39" s="2"/>
      <c r="E39" s="2"/>
      <c r="F39" s="2"/>
      <c r="G39" s="2"/>
      <c r="H39" s="2"/>
      <c r="I39" s="2"/>
      <c r="J39" s="2"/>
      <c r="K39" s="2"/>
      <c r="L39" s="2"/>
      <c r="M39" s="2"/>
    </row>
    <row r="40" customFormat="false" ht="15" hidden="false" customHeight="false" outlineLevel="0" collapsed="false">
      <c r="A40" s="4" t="s">
        <v>458</v>
      </c>
      <c r="B40" s="2"/>
      <c r="C40" s="2"/>
      <c r="D40" s="2"/>
      <c r="E40" s="2"/>
      <c r="F40" s="2"/>
      <c r="G40" s="2"/>
      <c r="H40" s="2"/>
      <c r="I40" s="2"/>
      <c r="J40" s="2"/>
      <c r="K40" s="45" t="n">
        <f aca="false">SUMPRODUCT(J5:J38,K5:K38)/SUM(J5:J38)</f>
        <v>0.00203415565868036</v>
      </c>
      <c r="L40" s="2"/>
      <c r="M40" s="2"/>
    </row>
    <row r="41" customFormat="false" ht="15" hidden="false" customHeight="false" outlineLevel="0" collapsed="false">
      <c r="A41" s="4" t="s">
        <v>459</v>
      </c>
      <c r="B41" s="2"/>
      <c r="C41" s="2"/>
      <c r="D41" s="2"/>
      <c r="E41" s="2"/>
      <c r="F41" s="2"/>
      <c r="G41" s="2"/>
      <c r="H41" s="2"/>
      <c r="I41" s="2"/>
      <c r="J41" s="2"/>
      <c r="K41" s="46" t="n">
        <f aca="false">1-K40/Inputs!$B$6</f>
        <v>0.796584434131964</v>
      </c>
      <c r="L41" s="2"/>
      <c r="M41" s="2"/>
    </row>
    <row r="42" customFormat="false" ht="15" hidden="false" customHeight="false" outlineLevel="0" collapsed="false">
      <c r="A42" s="3" t="s">
        <v>460</v>
      </c>
      <c r="B42" s="2"/>
      <c r="C42" s="2"/>
      <c r="D42" s="2"/>
      <c r="E42" s="2"/>
      <c r="F42" s="2"/>
      <c r="G42" s="2"/>
      <c r="H42" s="2"/>
      <c r="I42" s="2"/>
      <c r="J42" s="47" t="n">
        <f aca="false">SUM(J5:J38)</f>
        <v>1</v>
      </c>
      <c r="K42" s="2"/>
      <c r="L42" s="2"/>
      <c r="M42" s="2"/>
    </row>
  </sheetData>
  <conditionalFormatting sqref="H5:H38">
    <cfRule type="expression" priority="2" aboveAverage="0" equalAverage="0" bottom="0" percent="0" rank="0" text="" dxfId="1">
      <formula>H5="RAISE"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8"/>
    <col collapsed="false" customWidth="true" hidden="false" outlineLevel="0" max="4" min="4" style="0" width="11"/>
    <col collapsed="false" customWidth="true" hidden="false" outlineLevel="0" max="5" min="5" style="0" width="26"/>
    <col collapsed="false" customWidth="true" hidden="false" outlineLevel="0" max="6" min="6" style="0" width="14"/>
    <col collapsed="false" customWidth="true" hidden="false" outlineLevel="0" max="7" min="7" style="0" width="20"/>
    <col collapsed="false" customWidth="true" hidden="false" outlineLevel="0" max="8" min="8" style="0" width="11"/>
    <col collapsed="false" customWidth="true" hidden="false" outlineLevel="0" max="9" min="9" style="0" width="13"/>
    <col collapsed="false" customWidth="true" hidden="false" outlineLevel="0" max="11" min="10" style="0" width="11"/>
    <col collapsed="false" customWidth="true" hidden="false" outlineLevel="0" max="12" min="12" style="0" width="12"/>
    <col collapsed="false" customWidth="true" hidden="false" outlineLevel="0" max="13" min="13" style="0" width="16"/>
  </cols>
  <sheetData>
    <row r="1" customFormat="false" ht="17.35" hidden="false" customHeight="false" outlineLevel="0" collapsed="false">
      <c r="A1" s="1" t="s">
        <v>461</v>
      </c>
      <c r="B1" s="2"/>
      <c r="C1" s="2"/>
      <c r="D1" s="2"/>
      <c r="E1" s="2"/>
      <c r="F1" s="2"/>
      <c r="G1" s="2"/>
      <c r="H1" s="2"/>
      <c r="I1" s="2"/>
      <c r="J1" s="2"/>
      <c r="K1" s="2"/>
      <c r="L1" s="2"/>
      <c r="M1" s="2"/>
      <c r="N1" s="2"/>
    </row>
    <row r="2" customFormat="false" ht="15" hidden="false" customHeight="false" outlineLevel="0" collapsed="false">
      <c r="A2" s="3" t="s">
        <v>462</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30" hidden="false" customHeight="true" outlineLevel="0" collapsed="false">
      <c r="A4" s="6" t="s">
        <v>463</v>
      </c>
      <c r="B4" s="6" t="s">
        <v>464</v>
      </c>
      <c r="C4" s="6" t="s">
        <v>465</v>
      </c>
      <c r="D4" s="6" t="s">
        <v>466</v>
      </c>
      <c r="E4" s="6" t="s">
        <v>467</v>
      </c>
      <c r="F4" s="6" t="s">
        <v>468</v>
      </c>
      <c r="G4" s="6" t="s">
        <v>469</v>
      </c>
      <c r="H4" s="6" t="s">
        <v>470</v>
      </c>
      <c r="I4" s="6" t="s">
        <v>471</v>
      </c>
      <c r="J4" s="6" t="s">
        <v>472</v>
      </c>
      <c r="K4" s="6" t="s">
        <v>473</v>
      </c>
      <c r="L4" s="6" t="s">
        <v>474</v>
      </c>
      <c r="M4" s="6" t="s">
        <v>475</v>
      </c>
      <c r="N4" s="6" t="s">
        <v>476</v>
      </c>
    </row>
    <row r="5" customFormat="false" ht="15" hidden="false" customHeight="false" outlineLevel="0" collapsed="false">
      <c r="A5" s="7" t="s">
        <v>477</v>
      </c>
      <c r="B5" s="12" t="s">
        <v>478</v>
      </c>
      <c r="C5" s="34" t="n">
        <v>8</v>
      </c>
      <c r="D5" s="12" t="s">
        <v>479</v>
      </c>
      <c r="E5" s="31" t="s">
        <v>480</v>
      </c>
      <c r="F5" s="39" t="n">
        <f aca="false">C5*'Vendor Prices'!$G$17*(1+Inputs!$B$7)</f>
        <v>0.422</v>
      </c>
      <c r="G5" s="31" t="s">
        <v>481</v>
      </c>
      <c r="H5" s="39" t="n">
        <f aca="false">'Vendor Prices'!$G$29</f>
        <v>0.15</v>
      </c>
      <c r="I5" s="40" t="n">
        <f aca="false">IF(OR(Inputs!$B$30="kie",AND(Inputs!$B$30="split",N5="kie")),(1-Inputs!$B$27)*H5+Inputs!$B$27*F5,F5)</f>
        <v>0.1636</v>
      </c>
      <c r="J5" s="25" t="n">
        <v>0.5</v>
      </c>
      <c r="K5" s="39" t="n">
        <f aca="false">I5/J5</f>
        <v>0.3272</v>
      </c>
      <c r="L5" s="24" t="n">
        <v>0.14</v>
      </c>
      <c r="M5" s="12" t="s">
        <v>482</v>
      </c>
      <c r="N5" s="21" t="s">
        <v>483</v>
      </c>
    </row>
    <row r="6" customFormat="false" ht="15" hidden="false" customHeight="false" outlineLevel="0" collapsed="false">
      <c r="A6" s="7" t="s">
        <v>484</v>
      </c>
      <c r="B6" s="12" t="s">
        <v>478</v>
      </c>
      <c r="C6" s="34" t="n">
        <v>8</v>
      </c>
      <c r="D6" s="12" t="s">
        <v>485</v>
      </c>
      <c r="E6" s="31" t="s">
        <v>480</v>
      </c>
      <c r="F6" s="39" t="n">
        <f aca="false">C6*'Vendor Prices'!$G$18*(1+Inputs!$B$7)</f>
        <v>0.6752</v>
      </c>
      <c r="G6" s="31" t="s">
        <v>481</v>
      </c>
      <c r="H6" s="39" t="n">
        <f aca="false">'Vendor Prices'!$G$30</f>
        <v>0.175</v>
      </c>
      <c r="I6" s="40" t="n">
        <f aca="false">IF(OR(Inputs!$B$30="kie",AND(Inputs!$B$30="split",N6="kie")),(1-Inputs!$B$27)*H6+Inputs!$B$27*F6,F6)</f>
        <v>0.20001</v>
      </c>
      <c r="J6" s="25" t="n">
        <v>0.75</v>
      </c>
      <c r="K6" s="39" t="n">
        <f aca="false">I6/J6</f>
        <v>0.26668</v>
      </c>
      <c r="L6" s="24" t="n">
        <v>0.03</v>
      </c>
      <c r="M6" s="12" t="s">
        <v>486</v>
      </c>
      <c r="N6" s="21" t="s">
        <v>483</v>
      </c>
    </row>
    <row r="7" customFormat="false" ht="15" hidden="false" customHeight="false" outlineLevel="0" collapsed="false">
      <c r="A7" s="7" t="s">
        <v>487</v>
      </c>
      <c r="B7" s="12" t="s">
        <v>488</v>
      </c>
      <c r="C7" s="34" t="n">
        <v>8</v>
      </c>
      <c r="D7" s="12" t="s">
        <v>479</v>
      </c>
      <c r="E7" s="31" t="s">
        <v>489</v>
      </c>
      <c r="F7" s="39" t="n">
        <f aca="false">C7*'Vendor Prices'!$G$15*(1+Inputs!$B$7)</f>
        <v>0.844</v>
      </c>
      <c r="G7" s="31" t="s">
        <v>490</v>
      </c>
      <c r="H7" s="39" t="n">
        <f aca="false">'Vendor Prices'!$G$27</f>
        <v>0.3</v>
      </c>
      <c r="I7" s="40" t="n">
        <f aca="false">IF(OR(Inputs!$B$30="kie",AND(Inputs!$B$30="split",N7="kie")),(1-Inputs!$B$27)*H7+Inputs!$B$27*F7,F7)</f>
        <v>0.3272</v>
      </c>
      <c r="J7" s="25" t="n">
        <v>1</v>
      </c>
      <c r="K7" s="39" t="n">
        <f aca="false">I7/J7</f>
        <v>0.3272</v>
      </c>
      <c r="L7" s="24" t="n">
        <v>0.4</v>
      </c>
      <c r="M7" s="12" t="s">
        <v>482</v>
      </c>
      <c r="N7" s="21" t="s">
        <v>483</v>
      </c>
    </row>
    <row r="8" customFormat="false" ht="15" hidden="false" customHeight="false" outlineLevel="0" collapsed="false">
      <c r="A8" s="7" t="s">
        <v>491</v>
      </c>
      <c r="B8" s="12" t="s">
        <v>488</v>
      </c>
      <c r="C8" s="34" t="n">
        <v>8</v>
      </c>
      <c r="D8" s="12" t="s">
        <v>485</v>
      </c>
      <c r="E8" s="31" t="s">
        <v>489</v>
      </c>
      <c r="F8" s="39" t="n">
        <f aca="false">C8*'Vendor Prices'!$G$16*(1+Inputs!$B$7)</f>
        <v>1.0128</v>
      </c>
      <c r="G8" s="31" t="s">
        <v>490</v>
      </c>
      <c r="H8" s="39" t="n">
        <f aca="false">'Vendor Prices'!$G$28</f>
        <v>0.325</v>
      </c>
      <c r="I8" s="40" t="n">
        <f aca="false">IF(OR(Inputs!$B$30="kie",AND(Inputs!$B$30="split",N8="kie")),(1-Inputs!$B$27)*H8+Inputs!$B$27*F8,F8)</f>
        <v>0.35939</v>
      </c>
      <c r="J8" s="25" t="n">
        <v>1.25</v>
      </c>
      <c r="K8" s="39" t="n">
        <f aca="false">I8/J8</f>
        <v>0.287512</v>
      </c>
      <c r="L8" s="24" t="n">
        <v>0.1</v>
      </c>
      <c r="M8" s="12" t="s">
        <v>486</v>
      </c>
      <c r="N8" s="21" t="s">
        <v>483</v>
      </c>
    </row>
    <row r="9" customFormat="false" ht="15" hidden="false" customHeight="false" outlineLevel="0" collapsed="false">
      <c r="A9" s="7" t="s">
        <v>492</v>
      </c>
      <c r="B9" s="12" t="s">
        <v>493</v>
      </c>
      <c r="C9" s="34" t="n">
        <v>8</v>
      </c>
      <c r="D9" s="12" t="s">
        <v>494</v>
      </c>
      <c r="E9" s="31" t="s">
        <v>495</v>
      </c>
      <c r="F9" s="39" t="n">
        <f aca="false">(C9*'Vendor Prices'!$G$19+2*'Vendor Prices'!$G$20)*(1+Inputs!$B$7)</f>
        <v>1.1816</v>
      </c>
      <c r="G9" s="31" t="s">
        <v>496</v>
      </c>
      <c r="H9" s="39" t="n">
        <f aca="false">C9*'Vendor Prices'!$G$35</f>
        <v>0.8</v>
      </c>
      <c r="I9" s="40" t="n">
        <f aca="false">IF(OR(Inputs!$B$30="kie",AND(Inputs!$B$30="split",N9="kie")),(1-Inputs!$B$27)*H9+Inputs!$B$27*F9,F9)</f>
        <v>1.1816</v>
      </c>
      <c r="J9" s="25" t="n">
        <v>1.5</v>
      </c>
      <c r="K9" s="39" t="n">
        <f aca="false">I9/J9</f>
        <v>0.787733333333333</v>
      </c>
      <c r="L9" s="24" t="n">
        <v>0.1</v>
      </c>
      <c r="M9" s="12" t="s">
        <v>486</v>
      </c>
      <c r="N9" s="21" t="s">
        <v>497</v>
      </c>
    </row>
    <row r="10" customFormat="false" ht="15" hidden="false" customHeight="false" outlineLevel="0" collapsed="false">
      <c r="A10" s="7" t="s">
        <v>498</v>
      </c>
      <c r="B10" s="12" t="s">
        <v>493</v>
      </c>
      <c r="C10" s="34" t="n">
        <v>10</v>
      </c>
      <c r="D10" s="12" t="s">
        <v>494</v>
      </c>
      <c r="E10" s="31" t="s">
        <v>495</v>
      </c>
      <c r="F10" s="39" t="n">
        <f aca="false">(C10*'Vendor Prices'!$G$19+2*'Vendor Prices'!$G$20)*(1+Inputs!$B$7)</f>
        <v>1.4559</v>
      </c>
      <c r="G10" s="31" t="s">
        <v>496</v>
      </c>
      <c r="H10" s="39" t="n">
        <f aca="false">C10*'Vendor Prices'!$G$35</f>
        <v>1</v>
      </c>
      <c r="I10" s="40" t="n">
        <f aca="false">IF(OR(Inputs!$B$30="kie",AND(Inputs!$B$30="split",N10="kie")),(1-Inputs!$B$27)*H10+Inputs!$B$27*F10,F10)</f>
        <v>1.4559</v>
      </c>
      <c r="J10" s="25" t="n">
        <v>2</v>
      </c>
      <c r="K10" s="39" t="n">
        <f aca="false">I10/J10</f>
        <v>0.72795</v>
      </c>
      <c r="L10" s="24" t="n">
        <v>0.04</v>
      </c>
      <c r="M10" s="12" t="s">
        <v>486</v>
      </c>
      <c r="N10" s="21" t="s">
        <v>497</v>
      </c>
    </row>
    <row r="11" customFormat="false" ht="15" hidden="false" customHeight="false" outlineLevel="0" collapsed="false">
      <c r="A11" s="7" t="s">
        <v>499</v>
      </c>
      <c r="B11" s="12" t="s">
        <v>500</v>
      </c>
      <c r="C11" s="34" t="n">
        <v>10</v>
      </c>
      <c r="D11" s="12" t="s">
        <v>501</v>
      </c>
      <c r="E11" s="31" t="s">
        <v>495</v>
      </c>
      <c r="F11" s="39" t="n">
        <f aca="false">(C11*'Vendor Prices'!$G$19+2*'Vendor Prices'!$G$20)*(1+Inputs!$B$7)</f>
        <v>1.4559</v>
      </c>
      <c r="G11" s="31" t="s">
        <v>502</v>
      </c>
      <c r="H11" s="39" t="n">
        <f aca="false">C11*'Vendor Prices'!$G$36</f>
        <v>0.5</v>
      </c>
      <c r="I11" s="40" t="n">
        <f aca="false">IF(OR(Inputs!$B$30="kie",AND(Inputs!$B$30="split",N11="kie")),(1-Inputs!$B$27)*H11+Inputs!$B$27*F11,F11)</f>
        <v>1.4559</v>
      </c>
      <c r="J11" s="25" t="n">
        <v>2</v>
      </c>
      <c r="K11" s="39" t="n">
        <f aca="false">I11/J11</f>
        <v>0.72795</v>
      </c>
      <c r="L11" s="24" t="n">
        <v>0.04</v>
      </c>
      <c r="M11" s="12" t="s">
        <v>503</v>
      </c>
      <c r="N11" s="21" t="s">
        <v>497</v>
      </c>
    </row>
    <row r="12" customFormat="false" ht="15" hidden="false" customHeight="false" outlineLevel="0" collapsed="false">
      <c r="A12" s="7" t="s">
        <v>504</v>
      </c>
      <c r="B12" s="12" t="s">
        <v>505</v>
      </c>
      <c r="C12" s="34" t="n">
        <v>12</v>
      </c>
      <c r="D12" s="12" t="s">
        <v>479</v>
      </c>
      <c r="E12" s="31" t="s">
        <v>506</v>
      </c>
      <c r="F12" s="39" t="n">
        <f aca="false">C12*'Vendor Prices'!$G$22*(1+Inputs!$B$7)</f>
        <v>1.1485152</v>
      </c>
      <c r="G12" s="31" t="s">
        <v>507</v>
      </c>
      <c r="H12" s="39" t="n">
        <f aca="false">C12*'Vendor Prices'!$G$32</f>
        <v>1.488</v>
      </c>
      <c r="I12" s="40" t="n">
        <f aca="false">IF(OR(Inputs!$B$30="kie",AND(Inputs!$B$30="split",N12="kie")),(1-Inputs!$B$27)*H12+Inputs!$B$27*F12,F12)</f>
        <v>1.1485152</v>
      </c>
      <c r="J12" s="25" t="n">
        <v>1.5</v>
      </c>
      <c r="K12" s="39" t="n">
        <f aca="false">I12/J12</f>
        <v>0.7656768</v>
      </c>
      <c r="L12" s="24" t="n">
        <v>0.05</v>
      </c>
      <c r="M12" s="12" t="s">
        <v>486</v>
      </c>
      <c r="N12" s="21" t="s">
        <v>497</v>
      </c>
    </row>
    <row r="13" customFormat="false" ht="15" hidden="false" customHeight="false" outlineLevel="0" collapsed="false">
      <c r="A13" s="7" t="s">
        <v>508</v>
      </c>
      <c r="B13" s="12" t="s">
        <v>505</v>
      </c>
      <c r="C13" s="34" t="n">
        <v>15</v>
      </c>
      <c r="D13" s="12" t="s">
        <v>479</v>
      </c>
      <c r="E13" s="31" t="s">
        <v>506</v>
      </c>
      <c r="F13" s="39" t="n">
        <f aca="false">C13*'Vendor Prices'!$G$22*(1+Inputs!$B$7)</f>
        <v>1.435644</v>
      </c>
      <c r="G13" s="31" t="s">
        <v>507</v>
      </c>
      <c r="H13" s="39" t="n">
        <f aca="false">C13*'Vendor Prices'!$G$32</f>
        <v>1.86</v>
      </c>
      <c r="I13" s="40" t="n">
        <f aca="false">IF(OR(Inputs!$B$30="kie",AND(Inputs!$B$30="split",N13="kie")),(1-Inputs!$B$27)*H13+Inputs!$B$27*F13,F13)</f>
        <v>1.435644</v>
      </c>
      <c r="J13" s="25" t="n">
        <v>2</v>
      </c>
      <c r="K13" s="39" t="n">
        <f aca="false">I13/J13</f>
        <v>0.717822</v>
      </c>
      <c r="L13" s="24" t="n">
        <v>0.03</v>
      </c>
      <c r="M13" s="12" t="s">
        <v>486</v>
      </c>
      <c r="N13" s="21" t="s">
        <v>497</v>
      </c>
    </row>
    <row r="14" customFormat="false" ht="15" hidden="false" customHeight="false" outlineLevel="0" collapsed="false">
      <c r="A14" s="7" t="s">
        <v>509</v>
      </c>
      <c r="B14" s="12" t="s">
        <v>505</v>
      </c>
      <c r="C14" s="34" t="n">
        <v>15</v>
      </c>
      <c r="D14" s="12" t="s">
        <v>510</v>
      </c>
      <c r="E14" s="31" t="s">
        <v>506</v>
      </c>
      <c r="F14" s="39" t="n">
        <f aca="false">C14*'Vendor Prices'!$G$21*(1+Inputs!$B$7)</f>
        <v>0.6385624875</v>
      </c>
      <c r="G14" s="31" t="s">
        <v>507</v>
      </c>
      <c r="H14" s="39" t="n">
        <f aca="false">C14*'Vendor Prices'!$G$31</f>
        <v>0.8775</v>
      </c>
      <c r="I14" s="40" t="n">
        <f aca="false">IF(OR(Inputs!$B$30="kie",AND(Inputs!$B$30="split",N14="kie")),(1-Inputs!$B$27)*H14+Inputs!$B$27*F14,F14)</f>
        <v>0.6385624875</v>
      </c>
      <c r="J14" s="25" t="n">
        <v>1</v>
      </c>
      <c r="K14" s="39" t="n">
        <f aca="false">I14/J14</f>
        <v>0.6385624875</v>
      </c>
      <c r="L14" s="24" t="n">
        <v>0.02</v>
      </c>
      <c r="M14" s="12" t="s">
        <v>486</v>
      </c>
      <c r="N14" s="21" t="s">
        <v>497</v>
      </c>
    </row>
    <row r="15" customFormat="false" ht="15" hidden="false" customHeight="false" outlineLevel="0" collapsed="false">
      <c r="A15" s="7" t="s">
        <v>511</v>
      </c>
      <c r="B15" s="12" t="s">
        <v>512</v>
      </c>
      <c r="C15" s="34" t="n">
        <v>6</v>
      </c>
      <c r="D15" s="12" t="s">
        <v>479</v>
      </c>
      <c r="E15" s="31" t="s">
        <v>513</v>
      </c>
      <c r="F15" s="39" t="n">
        <f aca="false">C15*'Vendor Prices'!$G$17*(1+Inputs!$B$7)</f>
        <v>0.3165</v>
      </c>
      <c r="G15" s="31" t="s">
        <v>514</v>
      </c>
      <c r="H15" s="39" t="n">
        <f aca="false">'Vendor Prices'!$G$34</f>
        <v>0.12</v>
      </c>
      <c r="I15" s="40" t="n">
        <f aca="false">IF(OR(Inputs!$B$30="kie",AND(Inputs!$B$30="split",N15="kie")),(1-Inputs!$B$27)*H15+Inputs!$B$27*F15,F15)</f>
        <v>0.129825</v>
      </c>
      <c r="J15" s="25" t="n">
        <v>0.5</v>
      </c>
      <c r="K15" s="39" t="n">
        <f aca="false">I15/J15</f>
        <v>0.25965</v>
      </c>
      <c r="L15" s="24" t="n">
        <v>0.02</v>
      </c>
      <c r="M15" s="12" t="s">
        <v>482</v>
      </c>
      <c r="N15" s="21" t="s">
        <v>483</v>
      </c>
    </row>
    <row r="16" customFormat="false" ht="15" hidden="false" customHeight="false" outlineLevel="0" collapsed="false">
      <c r="A16" s="7" t="s">
        <v>515</v>
      </c>
      <c r="B16" s="12" t="s">
        <v>512</v>
      </c>
      <c r="C16" s="34" t="n">
        <v>6</v>
      </c>
      <c r="D16" s="12" t="s">
        <v>510</v>
      </c>
      <c r="E16" s="31" t="s">
        <v>513</v>
      </c>
      <c r="F16" s="39" t="n">
        <f aca="false">C16*'Vendor Prices'!$G$17*(1+Inputs!$B$7)</f>
        <v>0.3165</v>
      </c>
      <c r="G16" s="31" t="s">
        <v>514</v>
      </c>
      <c r="H16" s="39" t="n">
        <f aca="false">'Vendor Prices'!$G$33</f>
        <v>0.06</v>
      </c>
      <c r="I16" s="40" t="n">
        <f aca="false">IF(OR(Inputs!$B$30="kie",AND(Inputs!$B$30="split",N16="kie")),(1-Inputs!$B$27)*H16+Inputs!$B$27*F16,F16)</f>
        <v>0.072825</v>
      </c>
      <c r="J16" s="25" t="n">
        <v>0.5</v>
      </c>
      <c r="K16" s="39" t="n">
        <f aca="false">I16/J16</f>
        <v>0.14565</v>
      </c>
      <c r="L16" s="24" t="n">
        <v>0.01</v>
      </c>
      <c r="M16" s="12" t="s">
        <v>482</v>
      </c>
      <c r="N16" s="21" t="s">
        <v>483</v>
      </c>
    </row>
    <row r="17" customFormat="false" ht="15" hidden="false" customHeight="false" outlineLevel="0" collapsed="false">
      <c r="A17" s="7" t="s">
        <v>516</v>
      </c>
      <c r="B17" s="12" t="s">
        <v>493</v>
      </c>
      <c r="C17" s="34" t="n">
        <v>6</v>
      </c>
      <c r="D17" s="12" t="s">
        <v>494</v>
      </c>
      <c r="E17" s="31" t="s">
        <v>495</v>
      </c>
      <c r="F17" s="39" t="n">
        <f aca="false">C17*'Vendor Prices'!$G$19*(1+Inputs!$B$7)</f>
        <v>0.8229</v>
      </c>
      <c r="G17" s="31" t="s">
        <v>496</v>
      </c>
      <c r="H17" s="39" t="n">
        <f aca="false">C17*'Vendor Prices'!$G$35</f>
        <v>0.6</v>
      </c>
      <c r="I17" s="40" t="n">
        <f aca="false">IF(OR(Inputs!$B$30="kie",AND(Inputs!$B$30="split",N17="kie")),(1-Inputs!$B$27)*H17+Inputs!$B$27*F17,F17)</f>
        <v>0.8229</v>
      </c>
      <c r="J17" s="25" t="n">
        <v>1</v>
      </c>
      <c r="K17" s="39" t="n">
        <f aca="false">I17/J17</f>
        <v>0.8229</v>
      </c>
      <c r="L17" s="24" t="n">
        <v>0.02</v>
      </c>
      <c r="M17" s="12" t="s">
        <v>482</v>
      </c>
      <c r="N17" s="21" t="s">
        <v>497</v>
      </c>
    </row>
    <row r="18" customFormat="false" ht="15" hidden="false" customHeight="false" outlineLevel="0" collapsed="false">
      <c r="A18" s="2"/>
      <c r="B18" s="2"/>
      <c r="C18" s="2"/>
      <c r="D18" s="2"/>
      <c r="E18" s="2"/>
      <c r="F18" s="2"/>
      <c r="G18" s="2"/>
      <c r="H18" s="2"/>
      <c r="I18" s="2"/>
      <c r="J18" s="2"/>
      <c r="K18" s="2"/>
      <c r="L18" s="2"/>
      <c r="M18" s="2"/>
      <c r="N18" s="2"/>
    </row>
    <row r="19" customFormat="false" ht="15" hidden="false" customHeight="false" outlineLevel="0" collapsed="false">
      <c r="A19" s="4" t="s">
        <v>517</v>
      </c>
      <c r="B19" s="2"/>
      <c r="C19" s="2"/>
      <c r="D19" s="2"/>
      <c r="E19" s="2"/>
      <c r="F19" s="2"/>
      <c r="G19" s="2"/>
      <c r="H19" s="2"/>
      <c r="I19" s="2"/>
      <c r="J19" s="2"/>
      <c r="K19" s="48" t="n">
        <f aca="false">SUMPRODUCT(K5:K17,L5:L17)/SUM(L5:L17)</f>
        <v>0.446146183083333</v>
      </c>
      <c r="L19" s="2"/>
      <c r="M19" s="2"/>
      <c r="N19" s="2"/>
    </row>
    <row r="20" customFormat="false" ht="15" hidden="false" customHeight="false" outlineLevel="0" collapsed="false">
      <c r="A20" s="4" t="s">
        <v>518</v>
      </c>
      <c r="B20" s="2"/>
      <c r="C20" s="2"/>
      <c r="D20" s="2"/>
      <c r="E20" s="2"/>
      <c r="F20" s="2"/>
      <c r="G20" s="2"/>
      <c r="H20" s="2"/>
      <c r="I20" s="2"/>
      <c r="J20" s="2"/>
      <c r="K20" s="49" t="n">
        <f aca="false">SUMPRODUCT(F5:F17/J5:J17,L5:L17)/SUM(L5:L17)</f>
        <v>0.808839083083333</v>
      </c>
      <c r="L20" s="2"/>
      <c r="M20" s="2"/>
      <c r="N20" s="2"/>
    </row>
    <row r="21" customFormat="false" ht="15" hidden="false" customHeight="false" outlineLevel="0" collapsed="false">
      <c r="A21" s="4" t="s">
        <v>519</v>
      </c>
      <c r="B21" s="2"/>
      <c r="C21" s="2"/>
      <c r="D21" s="2"/>
      <c r="E21" s="2"/>
      <c r="F21" s="2"/>
      <c r="G21" s="2"/>
      <c r="H21" s="2"/>
      <c r="I21" s="2"/>
      <c r="J21" s="2"/>
      <c r="K21" s="49" t="n">
        <f aca="false">SUMPRODUCT(H5:H17/J5:J17,L5:L17)/SUM(L5:L17)</f>
        <v>0.391383333333333</v>
      </c>
      <c r="L21" s="2"/>
      <c r="M21" s="2"/>
      <c r="N21" s="2"/>
    </row>
    <row r="22" customFormat="false" ht="15" hidden="false" customHeight="false" outlineLevel="0" collapsed="false">
      <c r="A22" s="3" t="s">
        <v>460</v>
      </c>
      <c r="B22" s="2"/>
      <c r="C22" s="2"/>
      <c r="D22" s="2"/>
      <c r="E22" s="2"/>
      <c r="F22" s="2"/>
      <c r="G22" s="2"/>
      <c r="H22" s="2"/>
      <c r="I22" s="2"/>
      <c r="J22" s="2"/>
      <c r="K22" s="2"/>
      <c r="L22" s="47" t="n">
        <f aca="false">SUM(L5:L17)</f>
        <v>1</v>
      </c>
      <c r="M22" s="2"/>
      <c r="N22" s="2"/>
    </row>
    <row r="23" customFormat="false" ht="15" hidden="false" customHeight="false" outlineLevel="0" collapsed="false">
      <c r="A23" s="2"/>
      <c r="B23" s="2"/>
      <c r="C23" s="2"/>
      <c r="D23" s="2"/>
      <c r="E23" s="2"/>
      <c r="F23" s="2"/>
      <c r="G23" s="2"/>
      <c r="H23" s="2"/>
      <c r="I23" s="2"/>
      <c r="J23" s="2"/>
      <c r="K23" s="2"/>
      <c r="L23" s="2"/>
      <c r="M23" s="2"/>
      <c r="N23" s="2"/>
    </row>
    <row r="24" customFormat="false" ht="15" hidden="false" customHeight="false" outlineLevel="0" collapsed="false">
      <c r="A24" s="4" t="s">
        <v>520</v>
      </c>
      <c r="B24" s="2"/>
      <c r="C24" s="2"/>
      <c r="D24" s="2"/>
      <c r="E24" s="2"/>
      <c r="F24" s="2"/>
      <c r="G24" s="2"/>
      <c r="H24" s="2"/>
      <c r="I24" s="2"/>
      <c r="J24" s="2"/>
      <c r="K24" s="2"/>
      <c r="L24" s="2"/>
      <c r="M24" s="2"/>
      <c r="N24" s="2"/>
    </row>
    <row r="25" customFormat="false" ht="15" hidden="false" customHeight="false" outlineLevel="0" collapsed="false">
      <c r="A25" s="50" t="s">
        <v>521</v>
      </c>
      <c r="B25" s="2"/>
      <c r="C25" s="2"/>
      <c r="D25" s="2"/>
      <c r="E25" s="2"/>
      <c r="F25" s="2"/>
      <c r="G25" s="2"/>
      <c r="H25" s="2"/>
      <c r="I25" s="2"/>
      <c r="J25" s="2"/>
      <c r="K25" s="2"/>
      <c r="L25" s="2"/>
      <c r="M25" s="2"/>
      <c r="N25" s="2"/>
    </row>
    <row r="26" customFormat="false" ht="15" hidden="false" customHeight="false" outlineLevel="0" collapsed="false">
      <c r="A26" s="50" t="s">
        <v>522</v>
      </c>
      <c r="B26" s="2"/>
      <c r="C26" s="2"/>
      <c r="D26" s="2"/>
      <c r="E26" s="2"/>
      <c r="F26" s="2"/>
      <c r="G26" s="2"/>
      <c r="H26" s="2"/>
      <c r="I26" s="2"/>
      <c r="J26" s="2"/>
      <c r="K26" s="2"/>
      <c r="L26" s="2"/>
      <c r="M26" s="2"/>
      <c r="N26" s="2"/>
    </row>
    <row r="27" customFormat="false" ht="15" hidden="false" customHeight="false" outlineLevel="0" collapsed="false">
      <c r="A27" s="50" t="s">
        <v>523</v>
      </c>
      <c r="B27" s="2"/>
      <c r="C27" s="2"/>
      <c r="D27" s="2"/>
      <c r="E27" s="2"/>
      <c r="F27" s="2"/>
      <c r="G27" s="2"/>
      <c r="H27" s="2"/>
      <c r="I27" s="2"/>
      <c r="J27" s="2"/>
      <c r="K27" s="2"/>
      <c r="L27" s="2"/>
      <c r="M27" s="2"/>
      <c r="N27" s="2"/>
    </row>
    <row r="28" customFormat="false" ht="15" hidden="false" customHeight="false" outlineLevel="0" collapsed="false">
      <c r="A28" s="50" t="s">
        <v>524</v>
      </c>
      <c r="B28" s="2"/>
      <c r="C28" s="2"/>
      <c r="D28" s="2"/>
      <c r="E28" s="2"/>
      <c r="F28" s="2"/>
      <c r="G28" s="2"/>
      <c r="H28" s="2"/>
      <c r="I28" s="2"/>
      <c r="J28" s="2"/>
      <c r="K28" s="2"/>
      <c r="L28" s="2"/>
      <c r="M28" s="2"/>
      <c r="N28" s="2"/>
    </row>
    <row r="29" customFormat="false" ht="15" hidden="false" customHeight="false" outlineLevel="0" collapsed="false">
      <c r="A29" s="50" t="s">
        <v>525</v>
      </c>
      <c r="B29" s="2"/>
      <c r="C29" s="2"/>
      <c r="D29" s="2"/>
      <c r="E29" s="2"/>
      <c r="F29" s="2"/>
      <c r="G29" s="2"/>
      <c r="H29" s="2"/>
      <c r="I29" s="2"/>
      <c r="J29" s="2"/>
      <c r="K29" s="2"/>
      <c r="L29" s="2"/>
      <c r="M29" s="2"/>
      <c r="N29" s="2"/>
    </row>
    <row r="30" customFormat="false" ht="15" hidden="false" customHeight="false" outlineLevel="0" collapsed="false">
      <c r="A30" s="50" t="s">
        <v>526</v>
      </c>
      <c r="B30" s="2"/>
      <c r="C30" s="2"/>
      <c r="D30" s="2"/>
      <c r="E30" s="2"/>
      <c r="F30" s="2"/>
      <c r="G30" s="2"/>
      <c r="H30" s="2"/>
      <c r="I30" s="2"/>
      <c r="J30" s="2"/>
      <c r="K30" s="2"/>
      <c r="L30" s="2"/>
      <c r="M30" s="2"/>
      <c r="N3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60"/>
    <col collapsed="false" customWidth="true" hidden="false" outlineLevel="0" max="4" min="4" style="0" width="16"/>
    <col collapsed="false" customWidth="true" hidden="false" outlineLevel="0" max="5" min="5" style="0" width="12"/>
    <col collapsed="false" customWidth="true" hidden="false" outlineLevel="0" max="6" min="6" style="0" width="18"/>
    <col collapsed="false" customWidth="true" hidden="false" outlineLevel="0" max="7" min="7" style="0" width="10"/>
    <col collapsed="false" customWidth="true" hidden="false" outlineLevel="0" max="8" min="8" style="0" width="14"/>
    <col collapsed="false" customWidth="true" hidden="false" outlineLevel="0" max="9" min="9" style="0" width="12"/>
  </cols>
  <sheetData>
    <row r="1" customFormat="false" ht="17.35" hidden="false" customHeight="false" outlineLevel="0" collapsed="false">
      <c r="A1" s="1" t="s">
        <v>527</v>
      </c>
      <c r="B1" s="2"/>
      <c r="C1" s="2"/>
      <c r="D1" s="2"/>
      <c r="E1" s="2"/>
      <c r="F1" s="2"/>
      <c r="G1" s="2"/>
      <c r="H1" s="2"/>
      <c r="I1" s="2"/>
    </row>
    <row r="2" customFormat="false" ht="15" hidden="false" customHeight="false" outlineLevel="0" collapsed="false">
      <c r="A2" s="3" t="s">
        <v>528</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0" hidden="false" customHeight="true" outlineLevel="0" collapsed="false">
      <c r="A4" s="6" t="s">
        <v>529</v>
      </c>
      <c r="B4" s="6" t="s">
        <v>530</v>
      </c>
      <c r="C4" s="6" t="s">
        <v>531</v>
      </c>
      <c r="D4" s="6" t="s">
        <v>532</v>
      </c>
      <c r="E4" s="6" t="s">
        <v>359</v>
      </c>
      <c r="F4" s="6" t="s">
        <v>113</v>
      </c>
      <c r="G4" s="2"/>
      <c r="H4" s="2"/>
      <c r="I4" s="2"/>
    </row>
    <row r="5" customFormat="false" ht="23.85" hidden="false" customHeight="false" outlineLevel="0" collapsed="false">
      <c r="A5" s="7" t="s">
        <v>533</v>
      </c>
      <c r="B5" s="51" t="n">
        <v>39</v>
      </c>
      <c r="C5" s="17" t="s">
        <v>534</v>
      </c>
      <c r="D5" s="39" t="n">
        <f aca="false">30*Plans!$E$36*Inputs!$B$24+1500*Inputs!$B$21*Inputs!$B$37+3*Inputs!$B$22*Inputs!$B$38+150*Inputs!$B$26+Inputs!$B$24*'Unit Costs'!$AB$40+'Unit Costs'!$AB$60+('Unit Costs'!$AB$24+'Unit Costs'!$AB$25+'Unit Costs'!$AB$26)/12+200*'Unit Costs'!$AB$19</f>
        <v>9.16399579901236</v>
      </c>
      <c r="E5" s="41" t="n">
        <f aca="false">1-(D5+B5*(Inputs!$B$16+Inputs!$B$18+Inputs!$B$19))/B5</f>
        <v>0.692525748743273</v>
      </c>
      <c r="F5" s="31"/>
      <c r="G5" s="2"/>
      <c r="H5" s="2"/>
      <c r="I5" s="2"/>
    </row>
    <row r="6" customFormat="false" ht="15" hidden="false" customHeight="false" outlineLevel="0" collapsed="false">
      <c r="A6" s="7" t="s">
        <v>535</v>
      </c>
      <c r="B6" s="51" t="n">
        <v>39</v>
      </c>
      <c r="C6" s="17" t="s">
        <v>536</v>
      </c>
      <c r="D6" s="39" t="n">
        <f aca="false">100*Plans!$E$36*Inputs!$B$24</f>
        <v>6.8921963125</v>
      </c>
      <c r="E6" s="41" t="n">
        <f aca="false">1-(D6+B6*(Inputs!$B$16+Inputs!$B$18+Inputs!$B$19))/B6</f>
        <v>0.750777017628205</v>
      </c>
      <c r="F6" s="31"/>
      <c r="G6" s="2"/>
      <c r="H6" s="2"/>
      <c r="I6" s="2"/>
    </row>
    <row r="7" customFormat="false" ht="15" hidden="false" customHeight="false" outlineLevel="0" collapsed="false">
      <c r="A7" s="7" t="s">
        <v>537</v>
      </c>
      <c r="B7" s="51" t="n">
        <v>149</v>
      </c>
      <c r="C7" s="17" t="s">
        <v>538</v>
      </c>
      <c r="D7" s="39" t="n">
        <f aca="false">100*Plans!$E$36*(Inputs!$B$25-Inputs!$B$24)</f>
        <v>40.8597411875</v>
      </c>
      <c r="E7" s="41" t="n">
        <f aca="false">1-(D7+B7*(Inputs!$B$16+Inputs!$B$18+Inputs!$B$19))/B7</f>
        <v>0.653273549077181</v>
      </c>
      <c r="F7" s="31" t="s">
        <v>539</v>
      </c>
      <c r="G7" s="2"/>
      <c r="H7" s="2"/>
      <c r="I7" s="2"/>
    </row>
    <row r="8" customFormat="false" ht="15" hidden="false" customHeight="false" outlineLevel="0" collapsed="false">
      <c r="A8" s="7" t="s">
        <v>540</v>
      </c>
      <c r="B8" s="51" t="n">
        <v>15</v>
      </c>
      <c r="C8" s="17" t="s">
        <v>541</v>
      </c>
      <c r="D8" s="39" t="n">
        <f aca="false">100*'Unit Costs'!$AB$52*Inputs!$B$24</f>
        <v>0.8273926375</v>
      </c>
      <c r="E8" s="41" t="n">
        <f aca="false">1-(D8+B8*(Inputs!$B$16+Inputs!$B$18+Inputs!$B$19))/B8</f>
        <v>0.872340490833333</v>
      </c>
      <c r="F8" s="31" t="s">
        <v>542</v>
      </c>
      <c r="G8" s="2"/>
      <c r="H8" s="2"/>
      <c r="I8" s="2"/>
    </row>
    <row r="9" customFormat="false" ht="15" hidden="false" customHeight="false" outlineLevel="0" collapsed="false">
      <c r="A9" s="7" t="s">
        <v>543</v>
      </c>
      <c r="B9" s="51" t="n">
        <v>29</v>
      </c>
      <c r="C9" s="17" t="s">
        <v>544</v>
      </c>
      <c r="D9" s="39" t="n">
        <f aca="false">(Inputs!$B$25-Inputs!$B$24)*'Unit Costs'!$AB$40</f>
        <v>6.249087921975</v>
      </c>
      <c r="E9" s="41" t="n">
        <f aca="false">1-(D9+B9*(Inputs!$B$16+Inputs!$B$18+Inputs!$B$19))/B9</f>
        <v>0.712014209587069</v>
      </c>
      <c r="F9" s="31" t="s">
        <v>545</v>
      </c>
      <c r="G9" s="2"/>
      <c r="H9" s="2"/>
      <c r="I9" s="2"/>
    </row>
    <row r="10" customFormat="false" ht="15" hidden="false" customHeight="false" outlineLevel="0" collapsed="false">
      <c r="A10" s="7" t="s">
        <v>546</v>
      </c>
      <c r="B10" s="51" t="n">
        <v>29</v>
      </c>
      <c r="C10" s="17" t="s">
        <v>547</v>
      </c>
      <c r="D10" s="39" t="n">
        <f aca="false">200*0.8*'Unit Costs'!$AB$20</f>
        <v>7.716088035</v>
      </c>
      <c r="E10" s="41" t="n">
        <f aca="false">1-(D10+B10*(Inputs!$B$16+Inputs!$B$18+Inputs!$B$19))/B10</f>
        <v>0.661427998793104</v>
      </c>
      <c r="F10" s="31" t="s">
        <v>548</v>
      </c>
      <c r="G10" s="2"/>
      <c r="H10" s="2"/>
      <c r="I10" s="2"/>
    </row>
    <row r="11" customFormat="false" ht="15" hidden="false" customHeight="false" outlineLevel="0" collapsed="false">
      <c r="A11" s="7" t="s">
        <v>549</v>
      </c>
      <c r="B11" s="51" t="n">
        <v>15</v>
      </c>
      <c r="C11" s="17" t="s">
        <v>550</v>
      </c>
      <c r="D11" s="39" t="n">
        <f aca="false">100*'Unit Costs'!$AB$19</f>
        <v>0.893005753125</v>
      </c>
      <c r="E11" s="41" t="n">
        <f aca="false">1-(D11+B11*(Inputs!$B$16+Inputs!$B$18+Inputs!$B$19))/B11</f>
        <v>0.867966283125</v>
      </c>
      <c r="F11" s="31"/>
      <c r="G11" s="2"/>
      <c r="H11" s="2"/>
      <c r="I11" s="2"/>
    </row>
    <row r="12" customFormat="false" ht="15" hidden="false" customHeight="false" outlineLevel="0" collapsed="false">
      <c r="A12" s="7" t="s">
        <v>551</v>
      </c>
      <c r="B12" s="51" t="n">
        <v>49</v>
      </c>
      <c r="C12" s="17" t="s">
        <v>552</v>
      </c>
      <c r="D12" s="39" t="n">
        <f aca="false">2</f>
        <v>2</v>
      </c>
      <c r="E12" s="41" t="n">
        <f aca="false">1-(D12+B12*(Inputs!$B$16+Inputs!$B$18+Inputs!$B$19))/B12</f>
        <v>0.886683673469388</v>
      </c>
      <c r="F12" s="31"/>
      <c r="G12" s="2"/>
      <c r="H12" s="2"/>
      <c r="I12" s="2"/>
    </row>
    <row r="13" customFormat="false" ht="15" hidden="false" customHeight="false" outlineLevel="0" collapsed="false">
      <c r="A13" s="2"/>
      <c r="B13" s="2"/>
      <c r="C13" s="2"/>
      <c r="D13" s="2"/>
      <c r="E13" s="2"/>
      <c r="F13" s="2"/>
      <c r="G13" s="2"/>
      <c r="H13" s="2"/>
      <c r="I13" s="2"/>
    </row>
    <row r="14" customFormat="false" ht="30" hidden="false" customHeight="true" outlineLevel="0" collapsed="false">
      <c r="A14" s="6" t="s">
        <v>553</v>
      </c>
      <c r="B14" s="6" t="s">
        <v>530</v>
      </c>
      <c r="C14" s="6" t="s">
        <v>554</v>
      </c>
      <c r="D14" s="6" t="s">
        <v>7</v>
      </c>
      <c r="E14" s="6" t="s">
        <v>555</v>
      </c>
      <c r="F14" s="6" t="s">
        <v>556</v>
      </c>
      <c r="G14" s="6" t="s">
        <v>359</v>
      </c>
      <c r="H14" s="2"/>
      <c r="I14" s="2"/>
    </row>
    <row r="15" customFormat="false" ht="15" hidden="false" customHeight="false" outlineLevel="0" collapsed="false">
      <c r="A15" s="7" t="s">
        <v>557</v>
      </c>
      <c r="B15" s="51" t="n">
        <v>25</v>
      </c>
      <c r="C15" s="24" t="n">
        <v>0</v>
      </c>
      <c r="D15" s="43" t="n">
        <f aca="false">B15/Inputs!$B$6*(1+C15)</f>
        <v>2500</v>
      </c>
      <c r="E15" s="39" t="n">
        <f aca="false">B15*(Inputs!$B$16+Inputs!$B$18+Inputs!$B$19)+Inputs!$B$17</f>
        <v>2.3125</v>
      </c>
      <c r="F15" s="39" t="n">
        <f aca="false">D15*Inputs!$B$37</f>
        <v>5.0853891467009</v>
      </c>
      <c r="G15" s="41" t="n">
        <f aca="false">(B15-E15-F15)/B15</f>
        <v>0.704084434131964</v>
      </c>
      <c r="H15" s="2"/>
      <c r="I15" s="2"/>
    </row>
    <row r="16" customFormat="false" ht="15" hidden="false" customHeight="false" outlineLevel="0" collapsed="false">
      <c r="A16" s="7" t="s">
        <v>558</v>
      </c>
      <c r="B16" s="51" t="n">
        <v>100</v>
      </c>
      <c r="C16" s="24" t="n">
        <v>0.05</v>
      </c>
      <c r="D16" s="43" t="n">
        <f aca="false">B16/Inputs!$B$6*(1+C16)</f>
        <v>10500</v>
      </c>
      <c r="E16" s="39" t="n">
        <f aca="false">B16*(Inputs!$B$16+Inputs!$B$18+Inputs!$B$19)+Inputs!$B$17</f>
        <v>7.75</v>
      </c>
      <c r="F16" s="39" t="n">
        <f aca="false">D16*Inputs!$B$37</f>
        <v>21.3586344161438</v>
      </c>
      <c r="G16" s="41" t="n">
        <f aca="false">(B16-E16-F16)/B16</f>
        <v>0.708913655838562</v>
      </c>
      <c r="H16" s="2"/>
      <c r="I16" s="2"/>
    </row>
    <row r="17" customFormat="false" ht="15" hidden="false" customHeight="false" outlineLevel="0" collapsed="false">
      <c r="A17" s="7" t="s">
        <v>559</v>
      </c>
      <c r="B17" s="51" t="n">
        <v>250</v>
      </c>
      <c r="C17" s="24" t="n">
        <v>0.1</v>
      </c>
      <c r="D17" s="43" t="n">
        <f aca="false">B17/Inputs!$B$6*(1+C17)</f>
        <v>27500</v>
      </c>
      <c r="E17" s="39" t="n">
        <f aca="false">B17*(Inputs!$B$16+Inputs!$B$18+Inputs!$B$19)+Inputs!$B$17</f>
        <v>18.625</v>
      </c>
      <c r="F17" s="39" t="n">
        <f aca="false">D17*Inputs!$B$37</f>
        <v>55.9392806137099</v>
      </c>
      <c r="G17" s="41" t="n">
        <f aca="false">(B17-E17-F17)/B17</f>
        <v>0.70174287754516</v>
      </c>
      <c r="H17" s="2"/>
      <c r="I17" s="2"/>
    </row>
    <row r="18" customFormat="false" ht="15" hidden="false" customHeight="false" outlineLevel="0" collapsed="false">
      <c r="A18" s="7" t="s">
        <v>560</v>
      </c>
      <c r="B18" s="51" t="n">
        <v>500</v>
      </c>
      <c r="C18" s="24" t="n">
        <v>0.15</v>
      </c>
      <c r="D18" s="43" t="n">
        <f aca="false">B18/Inputs!$B$6*(1+C18)</f>
        <v>57500</v>
      </c>
      <c r="E18" s="39" t="n">
        <f aca="false">B18*(Inputs!$B$16+Inputs!$B$18+Inputs!$B$19)+Inputs!$B$17</f>
        <v>36.75</v>
      </c>
      <c r="F18" s="39" t="n">
        <f aca="false">D18*Inputs!$B$37</f>
        <v>116.963950374121</v>
      </c>
      <c r="G18" s="41" t="n">
        <f aca="false">(B18-E18-F18)/B18</f>
        <v>0.692572099251759</v>
      </c>
      <c r="H18" s="2"/>
      <c r="I18" s="2"/>
    </row>
    <row r="19" customFormat="false" ht="15" hidden="false" customHeight="false" outlineLevel="0" collapsed="false">
      <c r="A19" s="2"/>
      <c r="B19" s="2"/>
      <c r="C19" s="2"/>
      <c r="D19" s="2"/>
      <c r="E19" s="2"/>
      <c r="F19" s="2"/>
      <c r="G19" s="2"/>
      <c r="H19" s="2"/>
      <c r="I19" s="2"/>
    </row>
    <row r="20" customFormat="false" ht="30" hidden="false" customHeight="true" outlineLevel="0" collapsed="false">
      <c r="A20" s="6" t="s">
        <v>561</v>
      </c>
      <c r="B20" s="6" t="s">
        <v>530</v>
      </c>
      <c r="C20" s="6" t="s">
        <v>8</v>
      </c>
      <c r="D20" s="6" t="s">
        <v>562</v>
      </c>
      <c r="E20" s="6" t="s">
        <v>555</v>
      </c>
      <c r="F20" s="6" t="s">
        <v>563</v>
      </c>
      <c r="G20" s="6" t="s">
        <v>359</v>
      </c>
      <c r="H20" s="6" t="s">
        <v>564</v>
      </c>
      <c r="I20" s="6" t="s">
        <v>565</v>
      </c>
    </row>
    <row r="21" customFormat="false" ht="15" hidden="false" customHeight="false" outlineLevel="0" collapsed="false">
      <c r="A21" s="7" t="s">
        <v>566</v>
      </c>
      <c r="B21" s="51" t="n">
        <v>29</v>
      </c>
      <c r="C21" s="34" t="n">
        <v>10</v>
      </c>
      <c r="D21" s="39" t="n">
        <f aca="false">B21/C21</f>
        <v>2.9</v>
      </c>
      <c r="E21" s="39" t="n">
        <f aca="false">B21*(Inputs!$B$16+Inputs!$B$18+Inputs!$B$19)+Inputs!$B$17</f>
        <v>2.6025</v>
      </c>
      <c r="F21" s="39" t="n">
        <f aca="false">C21*Inputs!$B$38</f>
        <v>4.46146183083333</v>
      </c>
      <c r="G21" s="41" t="n">
        <f aca="false">(B21-E21-F21)/B21</f>
        <v>0.756415109281609</v>
      </c>
      <c r="H21" s="39" t="n">
        <f aca="false">C21*'Video Credits'!$K$21</f>
        <v>3.91383333333333</v>
      </c>
      <c r="I21" s="42" t="n">
        <f aca="false">(B21-E21-H21)/B21</f>
        <v>0.775298850574713</v>
      </c>
    </row>
    <row r="22" customFormat="false" ht="15" hidden="false" customHeight="false" outlineLevel="0" collapsed="false">
      <c r="A22" s="7" t="s">
        <v>567</v>
      </c>
      <c r="B22" s="51" t="n">
        <v>79</v>
      </c>
      <c r="C22" s="34" t="n">
        <v>30</v>
      </c>
      <c r="D22" s="39" t="n">
        <f aca="false">B22/C22</f>
        <v>2.63333333333333</v>
      </c>
      <c r="E22" s="39" t="n">
        <f aca="false">B22*(Inputs!$B$16+Inputs!$B$18+Inputs!$B$19)+Inputs!$B$17</f>
        <v>6.2275</v>
      </c>
      <c r="F22" s="39" t="n">
        <f aca="false">C22*Inputs!$B$38</f>
        <v>13.3843854925</v>
      </c>
      <c r="G22" s="41" t="n">
        <f aca="false">(B22-E22-F22)/B22</f>
        <v>0.751748284905063</v>
      </c>
      <c r="H22" s="39" t="n">
        <f aca="false">C22*'Video Credits'!$K$21</f>
        <v>11.7415</v>
      </c>
      <c r="I22" s="42" t="n">
        <f aca="false">(B22-E22-H22)/B22</f>
        <v>0.772544303797468</v>
      </c>
    </row>
    <row r="23" customFormat="false" ht="15" hidden="false" customHeight="false" outlineLevel="0" collapsed="false">
      <c r="A23" s="7" t="s">
        <v>568</v>
      </c>
      <c r="B23" s="51" t="n">
        <v>249</v>
      </c>
      <c r="C23" s="34" t="n">
        <v>100</v>
      </c>
      <c r="D23" s="39" t="n">
        <f aca="false">B23/C23</f>
        <v>2.49</v>
      </c>
      <c r="E23" s="39" t="n">
        <f aca="false">B23*(Inputs!$B$16+Inputs!$B$18+Inputs!$B$19)+Inputs!$B$17</f>
        <v>18.5525</v>
      </c>
      <c r="F23" s="39" t="n">
        <f aca="false">C23*Inputs!$B$38</f>
        <v>44.6146183083333</v>
      </c>
      <c r="G23" s="41" t="n">
        <f aca="false">(B23-E23-F23)/B23</f>
        <v>0.746316793942436</v>
      </c>
      <c r="H23" s="39" t="n">
        <f aca="false">C23*'Video Credits'!$K$21</f>
        <v>39.1383333333333</v>
      </c>
      <c r="I23" s="42" t="n">
        <f aca="false">(B23-E23-H23)/B23</f>
        <v>0.768309906291834</v>
      </c>
    </row>
    <row r="24" customFormat="false" ht="15" hidden="false" customHeight="false" outlineLevel="0" collapsed="false">
      <c r="A24" s="2"/>
      <c r="B24" s="2"/>
      <c r="C24" s="2"/>
      <c r="D24" s="2"/>
      <c r="E24" s="2"/>
      <c r="F24" s="2"/>
      <c r="G24" s="2"/>
      <c r="H24" s="2"/>
      <c r="I24" s="2"/>
    </row>
    <row r="25" customFormat="false" ht="15" hidden="false" customHeight="false" outlineLevel="0" collapsed="false">
      <c r="A25" s="4" t="s">
        <v>569</v>
      </c>
      <c r="B25" s="2"/>
      <c r="C25" s="2"/>
      <c r="D25" s="2"/>
      <c r="E25" s="2"/>
      <c r="F25" s="2"/>
      <c r="G25" s="46" t="n">
        <f aca="false">AVERAGE(G15:G18,G21:G23)</f>
        <v>0.723113322128079</v>
      </c>
      <c r="H25" s="2"/>
      <c r="I2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 min="3" style="0" width="22"/>
    <col collapsed="false" customWidth="true" hidden="false" outlineLevel="0" max="4" min="4" style="0" width="34"/>
    <col collapsed="false" customWidth="true" hidden="false" outlineLevel="0" max="5" min="5" style="0" width="26"/>
    <col collapsed="false" customWidth="true" hidden="false" outlineLevel="0" max="6" min="6" style="0" width="30"/>
  </cols>
  <sheetData>
    <row r="1" customFormat="false" ht="17.35" hidden="false" customHeight="false" outlineLevel="0" collapsed="false">
      <c r="A1" s="1" t="s">
        <v>570</v>
      </c>
      <c r="B1" s="2"/>
      <c r="C1" s="2"/>
      <c r="D1" s="2"/>
      <c r="E1" s="2"/>
      <c r="F1" s="2"/>
    </row>
    <row r="2" customFormat="false" ht="15" hidden="false" customHeight="false" outlineLevel="0" collapsed="false">
      <c r="A2" s="3" t="s">
        <v>571</v>
      </c>
      <c r="B2" s="2"/>
      <c r="C2" s="2"/>
      <c r="D2" s="2"/>
      <c r="E2" s="2"/>
      <c r="F2" s="2"/>
    </row>
    <row r="3" customFormat="false" ht="15" hidden="false" customHeight="false" outlineLevel="0" collapsed="false">
      <c r="A3" s="2"/>
      <c r="B3" s="2"/>
      <c r="C3" s="2"/>
      <c r="D3" s="2"/>
      <c r="E3" s="2"/>
      <c r="F3" s="2"/>
    </row>
    <row r="4" customFormat="false" ht="30" hidden="false" customHeight="true" outlineLevel="0" collapsed="false">
      <c r="A4" s="6" t="s">
        <v>41</v>
      </c>
      <c r="B4" s="6" t="s">
        <v>572</v>
      </c>
      <c r="C4" s="6" t="s">
        <v>573</v>
      </c>
      <c r="D4" s="6" t="s">
        <v>574</v>
      </c>
      <c r="E4" s="6" t="s">
        <v>575</v>
      </c>
      <c r="F4" s="2"/>
    </row>
    <row r="5" customFormat="false" ht="23.85" hidden="false" customHeight="false" outlineLevel="0" collapsed="false">
      <c r="A5" s="52" t="s">
        <v>576</v>
      </c>
      <c r="B5" s="17" t="s">
        <v>577</v>
      </c>
      <c r="C5" s="17" t="s">
        <v>578</v>
      </c>
      <c r="D5" s="17" t="s">
        <v>579</v>
      </c>
      <c r="E5" s="17" t="s">
        <v>580</v>
      </c>
      <c r="F5" s="2"/>
    </row>
    <row r="6" customFormat="false" ht="23.85" hidden="false" customHeight="false" outlineLevel="0" collapsed="false">
      <c r="A6" s="52" t="s">
        <v>581</v>
      </c>
      <c r="B6" s="17" t="s">
        <v>582</v>
      </c>
      <c r="C6" s="17" t="s">
        <v>583</v>
      </c>
      <c r="D6" s="17" t="s">
        <v>584</v>
      </c>
      <c r="E6" s="17" t="s">
        <v>585</v>
      </c>
      <c r="F6" s="2"/>
    </row>
    <row r="7" customFormat="false" ht="23.85" hidden="false" customHeight="false" outlineLevel="0" collapsed="false">
      <c r="A7" s="52" t="s">
        <v>586</v>
      </c>
      <c r="B7" s="17" t="s">
        <v>587</v>
      </c>
      <c r="C7" s="17" t="s">
        <v>588</v>
      </c>
      <c r="D7" s="17" t="s">
        <v>589</v>
      </c>
      <c r="E7" s="17" t="s">
        <v>590</v>
      </c>
      <c r="F7" s="2"/>
    </row>
    <row r="8" customFormat="false" ht="15" hidden="false" customHeight="false" outlineLevel="0" collapsed="false">
      <c r="A8" s="52" t="s">
        <v>591</v>
      </c>
      <c r="B8" s="17" t="s">
        <v>592</v>
      </c>
      <c r="C8" s="17" t="s">
        <v>593</v>
      </c>
      <c r="D8" s="17" t="s">
        <v>594</v>
      </c>
      <c r="E8" s="17" t="s">
        <v>595</v>
      </c>
      <c r="F8" s="2"/>
    </row>
    <row r="9" customFormat="false" ht="23.85" hidden="false" customHeight="false" outlineLevel="0" collapsed="false">
      <c r="A9" s="52" t="s">
        <v>596</v>
      </c>
      <c r="B9" s="17" t="s">
        <v>597</v>
      </c>
      <c r="C9" s="17" t="s">
        <v>598</v>
      </c>
      <c r="D9" s="17" t="s">
        <v>599</v>
      </c>
      <c r="E9" s="17" t="s">
        <v>600</v>
      </c>
      <c r="F9" s="2"/>
    </row>
    <row r="10" customFormat="false" ht="23.85" hidden="false" customHeight="false" outlineLevel="0" collapsed="false">
      <c r="A10" s="52" t="s">
        <v>601</v>
      </c>
      <c r="B10" s="17" t="s">
        <v>602</v>
      </c>
      <c r="C10" s="17" t="s">
        <v>603</v>
      </c>
      <c r="D10" s="17" t="s">
        <v>604</v>
      </c>
      <c r="E10" s="17" t="s">
        <v>605</v>
      </c>
      <c r="F10" s="2"/>
    </row>
    <row r="11" customFormat="false" ht="23.85" hidden="false" customHeight="false" outlineLevel="0" collapsed="false">
      <c r="A11" s="52" t="s">
        <v>606</v>
      </c>
      <c r="B11" s="17" t="s">
        <v>607</v>
      </c>
      <c r="C11" s="17" t="s">
        <v>608</v>
      </c>
      <c r="D11" s="17" t="s">
        <v>609</v>
      </c>
      <c r="E11" s="17" t="s">
        <v>610</v>
      </c>
      <c r="F11" s="2"/>
    </row>
    <row r="12" customFormat="false" ht="15" hidden="false" customHeight="false" outlineLevel="0" collapsed="false">
      <c r="A12" s="52" t="s">
        <v>611</v>
      </c>
      <c r="B12" s="17" t="s">
        <v>612</v>
      </c>
      <c r="C12" s="17" t="s">
        <v>613</v>
      </c>
      <c r="D12" s="17" t="s">
        <v>614</v>
      </c>
      <c r="E12" s="17" t="s">
        <v>615</v>
      </c>
      <c r="F12" s="2"/>
    </row>
    <row r="13" customFormat="false" ht="23.85" hidden="false" customHeight="false" outlineLevel="0" collapsed="false">
      <c r="A13" s="52" t="s">
        <v>616</v>
      </c>
      <c r="B13" s="17" t="s">
        <v>617</v>
      </c>
      <c r="C13" s="17" t="s">
        <v>618</v>
      </c>
      <c r="D13" s="17" t="s">
        <v>619</v>
      </c>
      <c r="E13" s="17" t="s">
        <v>620</v>
      </c>
      <c r="F13" s="2"/>
    </row>
    <row r="14" customFormat="false" ht="15" hidden="false" customHeight="false" outlineLevel="0" collapsed="false">
      <c r="A14" s="52" t="s">
        <v>621</v>
      </c>
      <c r="B14" s="17" t="s">
        <v>622</v>
      </c>
      <c r="C14" s="17" t="s">
        <v>623</v>
      </c>
      <c r="D14" s="17" t="s">
        <v>624</v>
      </c>
      <c r="E14" s="17" t="s">
        <v>625</v>
      </c>
      <c r="F14" s="2"/>
    </row>
    <row r="15" customFormat="false" ht="23.85" hidden="false" customHeight="false" outlineLevel="0" collapsed="false">
      <c r="A15" s="52" t="s">
        <v>626</v>
      </c>
      <c r="B15" s="17" t="s">
        <v>627</v>
      </c>
      <c r="C15" s="17" t="s">
        <v>628</v>
      </c>
      <c r="D15" s="17" t="s">
        <v>629</v>
      </c>
      <c r="E15" s="17" t="s">
        <v>630</v>
      </c>
      <c r="F15" s="2"/>
    </row>
    <row r="16" customFormat="false" ht="15" hidden="false" customHeight="false" outlineLevel="0" collapsed="false">
      <c r="A16" s="2"/>
      <c r="B16" s="2"/>
      <c r="C16" s="2"/>
      <c r="D16" s="2"/>
      <c r="E16" s="2"/>
      <c r="F16" s="2"/>
    </row>
    <row r="17" customFormat="false" ht="30" hidden="false" customHeight="true" outlineLevel="0" collapsed="false">
      <c r="A17" s="6" t="s">
        <v>631</v>
      </c>
      <c r="B17" s="6" t="s">
        <v>13</v>
      </c>
      <c r="C17" s="6" t="s">
        <v>14</v>
      </c>
      <c r="D17" s="6" t="s">
        <v>15</v>
      </c>
      <c r="E17" s="6" t="s">
        <v>16</v>
      </c>
      <c r="F17" s="6" t="s">
        <v>113</v>
      </c>
    </row>
    <row r="18" customFormat="false" ht="15" hidden="false" customHeight="false" outlineLevel="0" collapsed="false">
      <c r="A18" s="50" t="s">
        <v>632</v>
      </c>
      <c r="B18" s="49" t="n">
        <f aca="false">Plans!$D$6*(1-Inputs!$B$32*Inputs!$B$31)</f>
        <v>46.54951</v>
      </c>
      <c r="C18" s="49" t="n">
        <f aca="false">Plans!$E$6*(1-Inputs!$B$32*Inputs!$B$31)</f>
        <v>141.54851</v>
      </c>
      <c r="D18" s="49" t="n">
        <f aca="false">Plans!$F$6*(1-Inputs!$B$32*Inputs!$B$31)</f>
        <v>426.54551</v>
      </c>
      <c r="E18" s="49" t="n">
        <f aca="false">Plans!$G$6*(1-Inputs!$B$32*Inputs!$B$31)</f>
        <v>1139.03801</v>
      </c>
      <c r="F18" s="3"/>
    </row>
    <row r="19" customFormat="false" ht="15" hidden="false" customHeight="false" outlineLevel="0" collapsed="false">
      <c r="A19" s="50" t="s">
        <v>633</v>
      </c>
      <c r="B19" s="53" t="n">
        <v>0.05</v>
      </c>
      <c r="C19" s="53" t="n">
        <v>0.12</v>
      </c>
      <c r="D19" s="53" t="n">
        <v>0.2</v>
      </c>
      <c r="E19" s="53" t="n">
        <v>0.15</v>
      </c>
      <c r="F19" s="3"/>
    </row>
    <row r="20" customFormat="false" ht="15" hidden="false" customHeight="false" outlineLevel="0" collapsed="false">
      <c r="A20" s="4" t="s">
        <v>634</v>
      </c>
      <c r="B20" s="48" t="n">
        <f aca="false">B18*(1+B19)</f>
        <v>48.8769855</v>
      </c>
      <c r="C20" s="48" t="n">
        <f aca="false">C18*(1+C19)</f>
        <v>158.5343312</v>
      </c>
      <c r="D20" s="48" t="n">
        <f aca="false">D18*(1+D19)</f>
        <v>511.854612</v>
      </c>
      <c r="E20" s="48" t="n">
        <f aca="false">E18*(1+E19)</f>
        <v>1309.8937115</v>
      </c>
      <c r="F20" s="3"/>
    </row>
    <row r="21" customFormat="false" ht="15" hidden="false" customHeight="false" outlineLevel="0" collapsed="false">
      <c r="A21" s="50" t="s">
        <v>635</v>
      </c>
      <c r="B21" s="49" t="n">
        <f aca="false">Plans!$D$54+B20*(Inputs!$B$16+Inputs!$B$18+Inputs!$B$19)+Inputs!$B$17+B18*B19*0.35</f>
        <v>16.7862057674452</v>
      </c>
      <c r="C21" s="49" t="n">
        <f aca="false">Plans!$E$54+C20*(Inputs!$B$16+Inputs!$B$18+Inputs!$B$19)+Inputs!$B$17+C18*C19*0.35</f>
        <v>55.4047666455736</v>
      </c>
      <c r="D21" s="49" t="n">
        <f aca="false">Plans!$F$54+D20*(Inputs!$B$16+Inputs!$B$18+Inputs!$B$19)+Inputs!$B$17+D18*D19*0.35</f>
        <v>183.410495318073</v>
      </c>
      <c r="E21" s="49" t="n">
        <f aca="false">Plans!$G$54+E20*(Inputs!$B$16+Inputs!$B$18+Inputs!$B$19)+Inputs!$B$17+E18*E19*0.35</f>
        <v>506.813758288584</v>
      </c>
      <c r="F21" s="3" t="s">
        <v>636</v>
      </c>
    </row>
    <row r="22" customFormat="false" ht="15" hidden="false" customHeight="false" outlineLevel="0" collapsed="false">
      <c r="A22" s="4" t="s">
        <v>637</v>
      </c>
      <c r="B22" s="48" t="n">
        <f aca="false">B20-B21</f>
        <v>32.0907797325548</v>
      </c>
      <c r="C22" s="48" t="n">
        <f aca="false">C20-C21</f>
        <v>103.129564554426</v>
      </c>
      <c r="D22" s="48" t="n">
        <f aca="false">D20-D21</f>
        <v>328.444116681927</v>
      </c>
      <c r="E22" s="48" t="n">
        <f aca="false">E20-E21</f>
        <v>803.079953211416</v>
      </c>
      <c r="F22" s="3"/>
    </row>
    <row r="23" customFormat="false" ht="15" hidden="false" customHeight="false" outlineLevel="0" collapsed="false">
      <c r="A23" s="50" t="s">
        <v>638</v>
      </c>
      <c r="B23" s="53" t="n">
        <v>0.07</v>
      </c>
      <c r="C23" s="53" t="n">
        <v>0.05</v>
      </c>
      <c r="D23" s="53" t="n">
        <v>0.04</v>
      </c>
      <c r="E23" s="53" t="n">
        <v>0.025</v>
      </c>
      <c r="F23" s="3"/>
    </row>
    <row r="24" customFormat="false" ht="15" hidden="false" customHeight="false" outlineLevel="0" collapsed="false">
      <c r="A24" s="50" t="s">
        <v>639</v>
      </c>
      <c r="B24" s="53" t="n">
        <v>0.015</v>
      </c>
      <c r="C24" s="53" t="n">
        <v>0.012</v>
      </c>
      <c r="D24" s="53" t="n">
        <v>0.01</v>
      </c>
      <c r="E24" s="53" t="n">
        <v>0.005</v>
      </c>
      <c r="F24" s="3"/>
    </row>
    <row r="25" customFormat="false" ht="15" hidden="false" customHeight="false" outlineLevel="0" collapsed="false">
      <c r="A25" s="50" t="s">
        <v>640</v>
      </c>
      <c r="B25" s="47" t="n">
        <f aca="false">MAX(0.005,B23-B24)</f>
        <v>0.055</v>
      </c>
      <c r="C25" s="47" t="n">
        <f aca="false">MAX(0.005,C23-C24)</f>
        <v>0.038</v>
      </c>
      <c r="D25" s="47" t="n">
        <f aca="false">MAX(0.005,D23-D24)</f>
        <v>0.03</v>
      </c>
      <c r="E25" s="47" t="n">
        <f aca="false">MAX(0.005,E23-E24)</f>
        <v>0.02</v>
      </c>
      <c r="F25" s="3"/>
    </row>
    <row r="26" customFormat="false" ht="15" hidden="false" customHeight="false" outlineLevel="0" collapsed="false">
      <c r="A26" s="50" t="s">
        <v>641</v>
      </c>
      <c r="B26" s="54" t="n">
        <f aca="false">1/B23</f>
        <v>14.2857142857143</v>
      </c>
      <c r="C26" s="54" t="n">
        <f aca="false">1/C23</f>
        <v>20</v>
      </c>
      <c r="D26" s="54" t="n">
        <f aca="false">1/D23</f>
        <v>25</v>
      </c>
      <c r="E26" s="54" t="n">
        <f aca="false">1/E23</f>
        <v>40</v>
      </c>
      <c r="F26" s="3"/>
    </row>
    <row r="27" customFormat="false" ht="15" hidden="false" customHeight="false" outlineLevel="0" collapsed="false">
      <c r="A27" s="50" t="s">
        <v>642</v>
      </c>
      <c r="B27" s="54" t="n">
        <f aca="false">1/B25</f>
        <v>18.1818181818182</v>
      </c>
      <c r="C27" s="54" t="n">
        <f aca="false">1/C25</f>
        <v>26.3157894736842</v>
      </c>
      <c r="D27" s="54" t="n">
        <f aca="false">1/D25</f>
        <v>33.3333333333333</v>
      </c>
      <c r="E27" s="54" t="n">
        <f aca="false">1/E25</f>
        <v>50</v>
      </c>
      <c r="F27" s="3"/>
    </row>
    <row r="28" customFormat="false" ht="15" hidden="false" customHeight="false" outlineLevel="0" collapsed="false">
      <c r="A28" s="50" t="s">
        <v>643</v>
      </c>
      <c r="B28" s="55" t="n">
        <f aca="false">B22*B26</f>
        <v>458.439710465069</v>
      </c>
      <c r="C28" s="55" t="n">
        <f aca="false">C22*C26</f>
        <v>2062.59129108853</v>
      </c>
      <c r="D28" s="55" t="n">
        <f aca="false">D22*D26</f>
        <v>8211.10291704818</v>
      </c>
      <c r="E28" s="55" t="n">
        <f aca="false">E22*E26</f>
        <v>32123.1981284566</v>
      </c>
      <c r="F28" s="3"/>
    </row>
    <row r="29" customFormat="false" ht="15" hidden="false" customHeight="false" outlineLevel="0" collapsed="false">
      <c r="A29" s="4" t="s">
        <v>644</v>
      </c>
      <c r="B29" s="56" t="n">
        <f aca="false">B22*B27</f>
        <v>583.468722410087</v>
      </c>
      <c r="C29" s="56" t="n">
        <f aca="false">C22*C27</f>
        <v>2713.93590932701</v>
      </c>
      <c r="D29" s="56" t="n">
        <f aca="false">D22*D27</f>
        <v>10948.1372227309</v>
      </c>
      <c r="E29" s="56" t="n">
        <f aca="false">E22*E27</f>
        <v>40153.9976605708</v>
      </c>
      <c r="F29" s="3"/>
    </row>
    <row r="30" customFormat="false" ht="15" hidden="false" customHeight="false" outlineLevel="0" collapsed="false">
      <c r="A30" s="50" t="s">
        <v>645</v>
      </c>
      <c r="B30" s="57" t="n">
        <v>60</v>
      </c>
      <c r="C30" s="57" t="n">
        <v>150</v>
      </c>
      <c r="D30" s="57" t="n">
        <v>450</v>
      </c>
      <c r="E30" s="57" t="n">
        <v>1500</v>
      </c>
      <c r="F30" s="3" t="s">
        <v>646</v>
      </c>
    </row>
    <row r="31" customFormat="false" ht="15" hidden="false" customHeight="false" outlineLevel="0" collapsed="false">
      <c r="A31" s="4" t="s">
        <v>647</v>
      </c>
      <c r="B31" s="58" t="n">
        <f aca="false">B30/B22</f>
        <v>1.86969592200754</v>
      </c>
      <c r="C31" s="58" t="n">
        <f aca="false">C30/C22</f>
        <v>1.4544810758009</v>
      </c>
      <c r="D31" s="58" t="n">
        <f aca="false">D30/D22</f>
        <v>1.37009608984956</v>
      </c>
      <c r="E31" s="58" t="n">
        <f aca="false">E30/E22</f>
        <v>1.86780904441916</v>
      </c>
      <c r="F31" s="3"/>
    </row>
    <row r="32" customFormat="false" ht="15" hidden="false" customHeight="false" outlineLevel="0" collapsed="false">
      <c r="A32" s="4" t="s">
        <v>648</v>
      </c>
      <c r="B32" s="59" t="n">
        <f aca="false">B29/B30</f>
        <v>9.72447870683479</v>
      </c>
      <c r="C32" s="59" t="n">
        <f aca="false">C29/C30</f>
        <v>18.0929060621801</v>
      </c>
      <c r="D32" s="59" t="n">
        <f aca="false">D29/D30</f>
        <v>24.3291938282909</v>
      </c>
      <c r="E32" s="59" t="n">
        <f aca="false">E29/E30</f>
        <v>26.7693317737139</v>
      </c>
      <c r="F32" s="3" t="s">
        <v>649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2"/>
    <col collapsed="false" customWidth="true" hidden="false" outlineLevel="0" max="3" min="3" style="0" width="34"/>
    <col collapsed="false" customWidth="true" hidden="false" outlineLevel="0" max="4" min="4" style="0" width="30"/>
    <col collapsed="false" customWidth="true" hidden="false" outlineLevel="0" max="5" min="5" style="0" width="22"/>
    <col collapsed="false" customWidth="true" hidden="false" outlineLevel="0" max="6" min="6" style="0" width="8"/>
    <col collapsed="false" customWidth="true" hidden="false" outlineLevel="0" max="8" min="7" style="0" width="9"/>
    <col collapsed="false" customWidth="true" hidden="false" outlineLevel="0" max="10" min="9" style="0" width="8"/>
    <col collapsed="false" customWidth="true" hidden="false" outlineLevel="0" max="11" min="11" style="0" width="9"/>
    <col collapsed="false" customWidth="true" hidden="false" outlineLevel="0" max="12" min="12" style="0" width="8"/>
    <col collapsed="false" customWidth="true" hidden="false" outlineLevel="0" max="13" min="13" style="0" width="20"/>
    <col collapsed="false" customWidth="true" hidden="false" outlineLevel="0" max="14" min="14" style="0" width="7"/>
    <col collapsed="false" customWidth="true" hidden="false" outlineLevel="0" max="15" min="15" style="0" width="10"/>
    <col collapsed="false" customWidth="true" hidden="false" outlineLevel="0" max="16" min="16" style="0" width="24"/>
    <col collapsed="false" customWidth="true" hidden="false" outlineLevel="0" max="17" min="17" style="0" width="9"/>
    <col collapsed="false" customWidth="true" hidden="false" outlineLevel="0" max="20" min="18" style="0" width="7"/>
    <col collapsed="false" customWidth="true" hidden="false" outlineLevel="0" max="21" min="21" style="0" width="6"/>
    <col collapsed="false" customWidth="true" hidden="false" outlineLevel="0" max="22" min="22" style="0" width="10"/>
    <col collapsed="false" customWidth="true" hidden="false" outlineLevel="0" max="23" min="23" style="0" width="20"/>
    <col collapsed="false" customWidth="true" hidden="false" outlineLevel="0" max="25" min="24" style="0" width="10"/>
    <col collapsed="false" customWidth="true" hidden="false" outlineLevel="0" max="27" min="26" style="0" width="9"/>
    <col collapsed="false" customWidth="true" hidden="false" outlineLevel="0" max="28" min="28" style="0" width="11"/>
    <col collapsed="false" customWidth="true" hidden="false" outlineLevel="0" max="29" min="29" style="0" width="8"/>
    <col collapsed="false" customWidth="true" hidden="false" outlineLevel="0" max="30" min="30" style="0" width="10"/>
    <col collapsed="false" customWidth="true" hidden="false" outlineLevel="0" max="31" min="31" style="0" width="46"/>
  </cols>
  <sheetData>
    <row r="1" customFormat="false" ht="17.35" hidden="false" customHeight="false" outlineLevel="0" collapsed="false">
      <c r="A1" s="1" t="s">
        <v>650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customFormat="false" ht="15" hidden="false" customHeight="false" outlineLevel="0" collapsed="false">
      <c r="A2" s="3" t="s">
        <v>651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customFormat="false" ht="30" hidden="false" customHeight="true" outlineLevel="0" collapsed="false">
      <c r="A4" s="6" t="s">
        <v>652</v>
      </c>
      <c r="B4" s="6" t="s">
        <v>653</v>
      </c>
      <c r="C4" s="6" t="s">
        <v>654</v>
      </c>
      <c r="D4" s="6" t="s">
        <v>655</v>
      </c>
      <c r="E4" s="6" t="s">
        <v>656</v>
      </c>
      <c r="F4" s="6" t="s">
        <v>657</v>
      </c>
      <c r="G4" s="6" t="s">
        <v>658</v>
      </c>
      <c r="H4" s="6" t="s">
        <v>659</v>
      </c>
      <c r="I4" s="6" t="s">
        <v>660</v>
      </c>
      <c r="J4" s="6" t="s">
        <v>661</v>
      </c>
      <c r="K4" s="6" t="s">
        <v>662</v>
      </c>
      <c r="L4" s="6" t="s">
        <v>663</v>
      </c>
      <c r="M4" s="6" t="s">
        <v>664</v>
      </c>
      <c r="N4" s="6" t="s">
        <v>665</v>
      </c>
      <c r="O4" s="6" t="s">
        <v>666</v>
      </c>
      <c r="P4" s="6" t="s">
        <v>667</v>
      </c>
      <c r="Q4" s="6" t="s">
        <v>668</v>
      </c>
      <c r="R4" s="6" t="s">
        <v>669</v>
      </c>
      <c r="S4" s="6" t="s">
        <v>670</v>
      </c>
      <c r="T4" s="6" t="s">
        <v>671</v>
      </c>
      <c r="U4" s="6" t="s">
        <v>672</v>
      </c>
      <c r="V4" s="6" t="s">
        <v>673</v>
      </c>
      <c r="W4" s="6" t="s">
        <v>674</v>
      </c>
      <c r="X4" s="6" t="s">
        <v>675</v>
      </c>
      <c r="Y4" s="6" t="s">
        <v>676</v>
      </c>
      <c r="Z4" s="6" t="s">
        <v>677</v>
      </c>
      <c r="AA4" s="6" t="s">
        <v>678</v>
      </c>
      <c r="AB4" s="6" t="s">
        <v>679</v>
      </c>
      <c r="AC4" s="6" t="s">
        <v>680</v>
      </c>
      <c r="AD4" s="6" t="s">
        <v>681</v>
      </c>
      <c r="AE4" s="6" t="s">
        <v>682</v>
      </c>
    </row>
    <row r="5" customFormat="false" ht="15" hidden="false" customHeight="false" outlineLevel="0" collapsed="false">
      <c r="A5" s="7" t="s">
        <v>683</v>
      </c>
      <c r="B5" s="12" t="s">
        <v>684</v>
      </c>
      <c r="C5" s="17" t="s">
        <v>685</v>
      </c>
      <c r="D5" s="17" t="s">
        <v>686</v>
      </c>
      <c r="E5" s="21" t="s">
        <v>106</v>
      </c>
      <c r="F5" s="21" t="s">
        <v>102</v>
      </c>
      <c r="G5" s="34" t="n">
        <v>1500</v>
      </c>
      <c r="H5" s="34" t="n">
        <v>500</v>
      </c>
      <c r="I5" s="25" t="n">
        <v>1</v>
      </c>
      <c r="J5" s="24" t="n">
        <v>0</v>
      </c>
      <c r="K5" s="60"/>
      <c r="L5" s="25" t="n">
        <v>0</v>
      </c>
      <c r="M5" s="21"/>
      <c r="N5" s="60"/>
      <c r="O5" s="60"/>
      <c r="P5" s="12" t="str">
        <f aca="false">IF(E5="PREMIUM",Inputs!$B$9,IF(E5="WORKHORSE",Inputs!$B$10,IF(E5="ECONOMY",Inputs!$B$11,E5)))</f>
        <v>google/gemini-3.8-flash</v>
      </c>
      <c r="Q5" s="43" t="n">
        <f aca="false">IF(K5&lt;&gt;"",K5,IF(F5="",0,IFERROR(INDEX(Inputs!$B$42:$D$44,MATCH(E5,Inputs!$A$42:$A$44,0),IF(F5="low",1,IF(F5="medium",2,3))),0)))</f>
        <v>500</v>
      </c>
      <c r="R5" s="39" t="n">
        <f aca="false">IF(P5="",0,INDEX('Vendor Prices'!$G$5:$G$58,MATCH(P5,'Vendor Prices'!$A$5:$A$58,0)))</f>
        <v>0.75</v>
      </c>
      <c r="S5" s="39" t="n">
        <f aca="false">IF(P5="",0,INDEX('Vendor Prices'!$H$5:$H$58,MATCH(P5,'Vendor Prices'!$A$5:$A$58,0)))</f>
        <v>3.75</v>
      </c>
      <c r="T5" s="27" t="n">
        <f aca="false">IF(P5="",0,IF(INDEX('Vendor Prices'!$I$5:$I$58,MATCH(P5,'Vendor Prices'!$A$5:$A$58,0))=0,R5,INDEX('Vendor Prices'!$I$5:$I$58,MATCH(P5,'Vendor Prices'!$A$5:$A$58,0))))</f>
        <v>0.1875</v>
      </c>
      <c r="U5" s="61" t="n">
        <f aca="false">IF(LEFT(P5,10)="anthropic/",Inputs!$B$8,1)</f>
        <v>1</v>
      </c>
      <c r="V5" s="27" t="n">
        <f aca="false">IF(P5="",0,I5*(G5*U5*((1-J5)*R5+J5*T5)+(H5+Q5)*U5*S5)/1000000*(1+Inputs!$B$7))</f>
        <v>0.005143125</v>
      </c>
      <c r="W5" s="12" t="str">
        <f aca="false">IF(E5="PREMIUM",Inputs!$B$12,IF(E5="WORKHORSE",Inputs!$B$13,IF(E5="ECONOMY",Inputs!$B$14,"")))</f>
        <v>openai/gpt-5.6-terra</v>
      </c>
      <c r="X5" s="27" t="n">
        <f aca="false">IF(W5="",V5,I5*(G5*((1-J5)*INDEX('Vendor Prices'!$G$5:$G$58,MATCH(W5,'Vendor Prices'!$A$5:$A$58,0))+J5*INDEX('Vendor Prices'!$I$5:$I$58,MATCH(W5,'Vendor Prices'!$A$5:$A$58,0)))+(H5+Q5)*INDEX('Vendor Prices'!$H$5:$H$58,MATCH(W5,'Vendor Prices'!$A$5:$A$58,0)))/1000000*(1+Inputs!$B$7))</f>
        <v>0.015825</v>
      </c>
      <c r="Y5" s="27" t="n">
        <f aca="false">(1-Inputs!$B$15)*V5+Inputs!$B$15*X5</f>
        <v>0.00546358125</v>
      </c>
      <c r="Z5" s="27" t="n">
        <f aca="false">L5*Inputs!$B$29</f>
        <v>0</v>
      </c>
      <c r="AA5" s="27" t="n">
        <f aca="false">IF(M5="",0,N5*INDEX('Vendor Prices'!$G$5:$G$58,MATCH(M5,'Vendor Prices'!$A$5:$A$58,0))*(1+INDEX('Vendor Prices'!$J$5:$J$58,MATCH(M5,'Vendor Prices'!$A$5:$A$58,0))*Inputs!$B$7))</f>
        <v>0</v>
      </c>
      <c r="AB5" s="62" t="n">
        <f aca="false">Y5+Z5+AA5+O5</f>
        <v>0.00546358125</v>
      </c>
      <c r="AC5" s="19" t="n">
        <v>1.5</v>
      </c>
      <c r="AD5" s="27" t="n">
        <f aca="false">AB5*AC5</f>
        <v>0.008195371875</v>
      </c>
      <c r="AE5" s="17" t="s">
        <v>687</v>
      </c>
    </row>
    <row r="6" customFormat="false" ht="15" hidden="false" customHeight="false" outlineLevel="0" collapsed="false">
      <c r="A6" s="7" t="s">
        <v>688</v>
      </c>
      <c r="B6" s="12" t="s">
        <v>684</v>
      </c>
      <c r="C6" s="17" t="s">
        <v>689</v>
      </c>
      <c r="D6" s="17" t="s">
        <v>690</v>
      </c>
      <c r="E6" s="21" t="s">
        <v>107</v>
      </c>
      <c r="F6" s="21" t="s">
        <v>102</v>
      </c>
      <c r="G6" s="34" t="n">
        <v>6000</v>
      </c>
      <c r="H6" s="34" t="n">
        <v>600</v>
      </c>
      <c r="I6" s="25" t="n">
        <v>1</v>
      </c>
      <c r="J6" s="24" t="n">
        <v>0</v>
      </c>
      <c r="K6" s="60"/>
      <c r="L6" s="25" t="n">
        <v>0</v>
      </c>
      <c r="M6" s="21"/>
      <c r="N6" s="60"/>
      <c r="O6" s="60"/>
      <c r="P6" s="12" t="str">
        <f aca="false">IF(E6="PREMIUM",Inputs!$B$9,IF(E6="WORKHORSE",Inputs!$B$10,IF(E6="ECONOMY",Inputs!$B$11,E6)))</f>
        <v>google/gemini-3.1-flash-lite</v>
      </c>
      <c r="Q6" s="43" t="n">
        <f aca="false">IF(K6&lt;&gt;"",K6,IF(F6="",0,IFERROR(INDEX(Inputs!$B$42:$D$44,MATCH(E6,Inputs!$A$42:$A$44,0),IF(F6="low",1,IF(F6="medium",2,3))),0)))</f>
        <v>200</v>
      </c>
      <c r="R6" s="39" t="n">
        <f aca="false">IF(P6="",0,INDEX('Vendor Prices'!$G$5:$G$58,MATCH(P6,'Vendor Prices'!$A$5:$A$58,0)))</f>
        <v>0.25</v>
      </c>
      <c r="S6" s="39" t="n">
        <f aca="false">IF(P6="",0,INDEX('Vendor Prices'!$H$5:$H$58,MATCH(P6,'Vendor Prices'!$A$5:$A$58,0)))</f>
        <v>1.5</v>
      </c>
      <c r="T6" s="27" t="n">
        <f aca="false">IF(P6="",0,IF(INDEX('Vendor Prices'!$I$5:$I$58,MATCH(P6,'Vendor Prices'!$A$5:$A$58,0))=0,R6,INDEX('Vendor Prices'!$I$5:$I$58,MATCH(P6,'Vendor Prices'!$A$5:$A$58,0))))</f>
        <v>0.0625</v>
      </c>
      <c r="U6" s="61" t="n">
        <f aca="false">IF(LEFT(P6,10)="anthropic/",Inputs!$B$8,1)</f>
        <v>1</v>
      </c>
      <c r="V6" s="27" t="n">
        <f aca="false">IF(P6="",0,I6*(G6*U6*((1-J6)*R6+J6*T6)+(H6+Q6)*U6*S6)/1000000*(1+Inputs!$B$7))</f>
        <v>0.0028485</v>
      </c>
      <c r="W6" s="12" t="str">
        <f aca="false">IF(E6="PREMIUM",Inputs!$B$12,IF(E6="WORKHORSE",Inputs!$B$13,IF(E6="ECONOMY",Inputs!$B$14,"")))</f>
        <v>openai/gpt-5.6-luna</v>
      </c>
      <c r="X6" s="27" t="n">
        <f aca="false">IF(W6="",V6,I6*(G6*((1-J6)*INDEX('Vendor Prices'!$G$5:$G$58,MATCH(W6,'Vendor Prices'!$A$5:$A$58,0))+J6*INDEX('Vendor Prices'!$I$5:$I$58,MATCH(W6,'Vendor Prices'!$A$5:$A$58,0)))+(H6+Q6)*INDEX('Vendor Prices'!$H$5:$H$58,MATCH(W6,'Vendor Prices'!$A$5:$A$58,0)))/1000000*(1+Inputs!$B$7))</f>
        <v>0.0022788</v>
      </c>
      <c r="Y6" s="27" t="n">
        <f aca="false">(1-Inputs!$B$15)*V6+Inputs!$B$15*X6</f>
        <v>0.002831409</v>
      </c>
      <c r="Z6" s="27" t="n">
        <f aca="false">L6*Inputs!$B$29</f>
        <v>0</v>
      </c>
      <c r="AA6" s="27" t="n">
        <f aca="false">IF(M6="",0,N6*INDEX('Vendor Prices'!$G$5:$G$58,MATCH(M6,'Vendor Prices'!$A$5:$A$58,0))*(1+INDEX('Vendor Prices'!$J$5:$J$58,MATCH(M6,'Vendor Prices'!$A$5:$A$58,0))*Inputs!$B$7))</f>
        <v>0</v>
      </c>
      <c r="AB6" s="62" t="n">
        <f aca="false">Y6+Z6+AA6+O6</f>
        <v>0.002831409</v>
      </c>
      <c r="AC6" s="19" t="n">
        <v>1.5</v>
      </c>
      <c r="AD6" s="27" t="n">
        <f aca="false">AB6*AC6</f>
        <v>0.0042471135</v>
      </c>
      <c r="AE6" s="17" t="s">
        <v>691</v>
      </c>
    </row>
    <row r="7" customFormat="false" ht="15" hidden="false" customHeight="false" outlineLevel="0" collapsed="false">
      <c r="A7" s="7" t="s">
        <v>692</v>
      </c>
      <c r="B7" s="12" t="s">
        <v>684</v>
      </c>
      <c r="C7" s="17" t="s">
        <v>693</v>
      </c>
      <c r="D7" s="17" t="s">
        <v>694</v>
      </c>
      <c r="E7" s="21" t="s">
        <v>107</v>
      </c>
      <c r="F7" s="21" t="s">
        <v>102</v>
      </c>
      <c r="G7" s="34" t="n">
        <v>1500</v>
      </c>
      <c r="H7" s="34" t="n">
        <v>100</v>
      </c>
      <c r="I7" s="25" t="n">
        <v>1</v>
      </c>
      <c r="J7" s="24" t="n">
        <v>0</v>
      </c>
      <c r="K7" s="60"/>
      <c r="L7" s="25" t="n">
        <v>0</v>
      </c>
      <c r="M7" s="21"/>
      <c r="N7" s="60"/>
      <c r="O7" s="60"/>
      <c r="P7" s="12" t="str">
        <f aca="false">IF(E7="PREMIUM",Inputs!$B$9,IF(E7="WORKHORSE",Inputs!$B$10,IF(E7="ECONOMY",Inputs!$B$11,E7)))</f>
        <v>google/gemini-3.1-flash-lite</v>
      </c>
      <c r="Q7" s="43" t="n">
        <f aca="false">IF(K7&lt;&gt;"",K7,IF(F7="",0,IFERROR(INDEX(Inputs!$B$42:$D$44,MATCH(E7,Inputs!$A$42:$A$44,0),IF(F7="low",1,IF(F7="medium",2,3))),0)))</f>
        <v>200</v>
      </c>
      <c r="R7" s="39" t="n">
        <f aca="false">IF(P7="",0,INDEX('Vendor Prices'!$G$5:$G$58,MATCH(P7,'Vendor Prices'!$A$5:$A$58,0)))</f>
        <v>0.25</v>
      </c>
      <c r="S7" s="39" t="n">
        <f aca="false">IF(P7="",0,INDEX('Vendor Prices'!$H$5:$H$58,MATCH(P7,'Vendor Prices'!$A$5:$A$58,0)))</f>
        <v>1.5</v>
      </c>
      <c r="T7" s="27" t="n">
        <f aca="false">IF(P7="",0,IF(INDEX('Vendor Prices'!$I$5:$I$58,MATCH(P7,'Vendor Prices'!$A$5:$A$58,0))=0,R7,INDEX('Vendor Prices'!$I$5:$I$58,MATCH(P7,'Vendor Prices'!$A$5:$A$58,0))))</f>
        <v>0.0625</v>
      </c>
      <c r="U7" s="61" t="n">
        <f aca="false">IF(LEFT(P7,10)="anthropic/",Inputs!$B$8,1)</f>
        <v>1</v>
      </c>
      <c r="V7" s="27" t="n">
        <f aca="false">IF(P7="",0,I7*(G7*U7*((1-J7)*R7+J7*T7)+(H7+Q7)*U7*S7)/1000000*(1+Inputs!$B$7))</f>
        <v>0.000870375</v>
      </c>
      <c r="W7" s="12" t="str">
        <f aca="false">IF(E7="PREMIUM",Inputs!$B$12,IF(E7="WORKHORSE",Inputs!$B$13,IF(E7="ECONOMY",Inputs!$B$14,"")))</f>
        <v>openai/gpt-5.6-luna</v>
      </c>
      <c r="X7" s="27" t="n">
        <f aca="false">IF(W7="",V7,I7*(G7*((1-J7)*INDEX('Vendor Prices'!$G$5:$G$58,MATCH(W7,'Vendor Prices'!$A$5:$A$58,0))+J7*INDEX('Vendor Prices'!$I$5:$I$58,MATCH(W7,'Vendor Prices'!$A$5:$A$58,0)))+(H7+Q7)*INDEX('Vendor Prices'!$H$5:$H$58,MATCH(W7,'Vendor Prices'!$A$5:$A$58,0)))/1000000*(1+Inputs!$B$7))</f>
        <v>0.0006963</v>
      </c>
      <c r="Y7" s="27" t="n">
        <f aca="false">(1-Inputs!$B$15)*V7+Inputs!$B$15*X7</f>
        <v>0.00086515275</v>
      </c>
      <c r="Z7" s="27" t="n">
        <f aca="false">L7*Inputs!$B$29</f>
        <v>0</v>
      </c>
      <c r="AA7" s="27" t="n">
        <f aca="false">IF(M7="",0,N7*INDEX('Vendor Prices'!$G$5:$G$58,MATCH(M7,'Vendor Prices'!$A$5:$A$58,0))*(1+INDEX('Vendor Prices'!$J$5:$J$58,MATCH(M7,'Vendor Prices'!$A$5:$A$58,0))*Inputs!$B$7))</f>
        <v>0</v>
      </c>
      <c r="AB7" s="62" t="n">
        <f aca="false">Y7+Z7+AA7+O7</f>
        <v>0.00086515275</v>
      </c>
      <c r="AC7" s="19" t="n">
        <v>1.5</v>
      </c>
      <c r="AD7" s="27" t="n">
        <f aca="false">AB7*AC7</f>
        <v>0.001297729125</v>
      </c>
      <c r="AE7" s="17"/>
    </row>
    <row r="8" customFormat="false" ht="15" hidden="false" customHeight="false" outlineLevel="0" collapsed="false">
      <c r="A8" s="7" t="s">
        <v>695</v>
      </c>
      <c r="B8" s="12" t="s">
        <v>684</v>
      </c>
      <c r="C8" s="17" t="s">
        <v>696</v>
      </c>
      <c r="D8" s="17" t="s">
        <v>697</v>
      </c>
      <c r="E8" s="21" t="s">
        <v>106</v>
      </c>
      <c r="F8" s="21" t="s">
        <v>102</v>
      </c>
      <c r="G8" s="34" t="n">
        <v>8000</v>
      </c>
      <c r="H8" s="34" t="n">
        <v>1500</v>
      </c>
      <c r="I8" s="25" t="n">
        <v>1</v>
      </c>
      <c r="J8" s="24" t="n">
        <v>0</v>
      </c>
      <c r="K8" s="60"/>
      <c r="L8" s="25" t="n">
        <v>0</v>
      </c>
      <c r="M8" s="21"/>
      <c r="N8" s="60"/>
      <c r="O8" s="60"/>
      <c r="P8" s="12" t="str">
        <f aca="false">IF(E8="PREMIUM",Inputs!$B$9,IF(E8="WORKHORSE",Inputs!$B$10,IF(E8="ECONOMY",Inputs!$B$11,E8)))</f>
        <v>google/gemini-3.8-flash</v>
      </c>
      <c r="Q8" s="43" t="n">
        <f aca="false">IF(K8&lt;&gt;"",K8,IF(F8="",0,IFERROR(INDEX(Inputs!$B$42:$D$44,MATCH(E8,Inputs!$A$42:$A$44,0),IF(F8="low",1,IF(F8="medium",2,3))),0)))</f>
        <v>500</v>
      </c>
      <c r="R8" s="39" t="n">
        <f aca="false">IF(P8="",0,INDEX('Vendor Prices'!$G$5:$G$58,MATCH(P8,'Vendor Prices'!$A$5:$A$58,0)))</f>
        <v>0.75</v>
      </c>
      <c r="S8" s="39" t="n">
        <f aca="false">IF(P8="",0,INDEX('Vendor Prices'!$H$5:$H$58,MATCH(P8,'Vendor Prices'!$A$5:$A$58,0)))</f>
        <v>3.75</v>
      </c>
      <c r="T8" s="27" t="n">
        <f aca="false">IF(P8="",0,IF(INDEX('Vendor Prices'!$I$5:$I$58,MATCH(P8,'Vendor Prices'!$A$5:$A$58,0))=0,R8,INDEX('Vendor Prices'!$I$5:$I$58,MATCH(P8,'Vendor Prices'!$A$5:$A$58,0))))</f>
        <v>0.1875</v>
      </c>
      <c r="U8" s="61" t="n">
        <f aca="false">IF(LEFT(P8,10)="anthropic/",Inputs!$B$8,1)</f>
        <v>1</v>
      </c>
      <c r="V8" s="27" t="n">
        <f aca="false">IF(P8="",0,I8*(G8*U8*((1-J8)*R8+J8*T8)+(H8+Q8)*U8*S8)/1000000*(1+Inputs!$B$7))</f>
        <v>0.0142425</v>
      </c>
      <c r="W8" s="12" t="str">
        <f aca="false">IF(E8="PREMIUM",Inputs!$B$12,IF(E8="WORKHORSE",Inputs!$B$13,IF(E8="ECONOMY",Inputs!$B$14,"")))</f>
        <v>openai/gpt-5.6-terra</v>
      </c>
      <c r="X8" s="27" t="n">
        <f aca="false">IF(W8="",V8,I8*(G8*((1-J8)*INDEX('Vendor Prices'!$G$5:$G$58,MATCH(W8,'Vendor Prices'!$A$5:$A$58,0))+J8*INDEX('Vendor Prices'!$I$5:$I$58,MATCH(W8,'Vendor Prices'!$A$5:$A$58,0)))+(H8+Q8)*INDEX('Vendor Prices'!$H$5:$H$58,MATCH(W8,'Vendor Prices'!$A$5:$A$58,0)))/1000000*(1+Inputs!$B$7))</f>
        <v>0.0422</v>
      </c>
      <c r="Y8" s="27" t="n">
        <f aca="false">(1-Inputs!$B$15)*V8+Inputs!$B$15*X8</f>
        <v>0.015081225</v>
      </c>
      <c r="Z8" s="27" t="n">
        <f aca="false">L8*Inputs!$B$29</f>
        <v>0</v>
      </c>
      <c r="AA8" s="27" t="n">
        <f aca="false">IF(M8="",0,N8*INDEX('Vendor Prices'!$G$5:$G$58,MATCH(M8,'Vendor Prices'!$A$5:$A$58,0))*(1+INDEX('Vendor Prices'!$J$5:$J$58,MATCH(M8,'Vendor Prices'!$A$5:$A$58,0))*Inputs!$B$7))</f>
        <v>0</v>
      </c>
      <c r="AB8" s="62" t="n">
        <f aca="false">Y8+Z8+AA8+O8</f>
        <v>0.015081225</v>
      </c>
      <c r="AC8" s="19" t="n">
        <v>1.5</v>
      </c>
      <c r="AD8" s="27" t="n">
        <f aca="false">AB8*AC8</f>
        <v>0.0226218375</v>
      </c>
      <c r="AE8" s="17" t="s">
        <v>698</v>
      </c>
    </row>
    <row r="9" customFormat="false" ht="15" hidden="false" customHeight="false" outlineLevel="0" collapsed="false">
      <c r="A9" s="7" t="s">
        <v>699</v>
      </c>
      <c r="B9" s="12" t="s">
        <v>684</v>
      </c>
      <c r="C9" s="17" t="s">
        <v>700</v>
      </c>
      <c r="D9" s="17" t="s">
        <v>701</v>
      </c>
      <c r="E9" s="21" t="s">
        <v>106</v>
      </c>
      <c r="F9" s="21" t="s">
        <v>102</v>
      </c>
      <c r="G9" s="34" t="n">
        <v>3000</v>
      </c>
      <c r="H9" s="34" t="n">
        <v>800</v>
      </c>
      <c r="I9" s="25" t="n">
        <v>1</v>
      </c>
      <c r="J9" s="24" t="n">
        <v>0</v>
      </c>
      <c r="K9" s="60"/>
      <c r="L9" s="25" t="n">
        <v>0</v>
      </c>
      <c r="M9" s="21"/>
      <c r="N9" s="60"/>
      <c r="O9" s="60"/>
      <c r="P9" s="12" t="str">
        <f aca="false">IF(E9="PREMIUM",Inputs!$B$9,IF(E9="WORKHORSE",Inputs!$B$10,IF(E9="ECONOMY",Inputs!$B$11,E9)))</f>
        <v>google/gemini-3.8-flash</v>
      </c>
      <c r="Q9" s="43" t="n">
        <f aca="false">IF(K9&lt;&gt;"",K9,IF(F9="",0,IFERROR(INDEX(Inputs!$B$42:$D$44,MATCH(E9,Inputs!$A$42:$A$44,0),IF(F9="low",1,IF(F9="medium",2,3))),0)))</f>
        <v>500</v>
      </c>
      <c r="R9" s="39" t="n">
        <f aca="false">IF(P9="",0,INDEX('Vendor Prices'!$G$5:$G$58,MATCH(P9,'Vendor Prices'!$A$5:$A$58,0)))</f>
        <v>0.75</v>
      </c>
      <c r="S9" s="39" t="n">
        <f aca="false">IF(P9="",0,INDEX('Vendor Prices'!$H$5:$H$58,MATCH(P9,'Vendor Prices'!$A$5:$A$58,0)))</f>
        <v>3.75</v>
      </c>
      <c r="T9" s="27" t="n">
        <f aca="false">IF(P9="",0,IF(INDEX('Vendor Prices'!$I$5:$I$58,MATCH(P9,'Vendor Prices'!$A$5:$A$58,0))=0,R9,INDEX('Vendor Prices'!$I$5:$I$58,MATCH(P9,'Vendor Prices'!$A$5:$A$58,0))))</f>
        <v>0.1875</v>
      </c>
      <c r="U9" s="61" t="n">
        <f aca="false">IF(LEFT(P9,10)="anthropic/",Inputs!$B$8,1)</f>
        <v>1</v>
      </c>
      <c r="V9" s="27" t="n">
        <f aca="false">IF(P9="",0,I9*(G9*U9*((1-J9)*R9+J9*T9)+(H9+Q9)*U9*S9)/1000000*(1+Inputs!$B$7))</f>
        <v>0.007516875</v>
      </c>
      <c r="W9" s="12" t="str">
        <f aca="false">IF(E9="PREMIUM",Inputs!$B$12,IF(E9="WORKHORSE",Inputs!$B$13,IF(E9="ECONOMY",Inputs!$B$14,"")))</f>
        <v>openai/gpt-5.6-terra</v>
      </c>
      <c r="X9" s="27" t="n">
        <f aca="false">IF(W9="",V9,I9*(G9*((1-J9)*INDEX('Vendor Prices'!$G$5:$G$58,MATCH(W9,'Vendor Prices'!$A$5:$A$58,0))+J9*INDEX('Vendor Prices'!$I$5:$I$58,MATCH(W9,'Vendor Prices'!$A$5:$A$58,0)))+(H9+Q9)*INDEX('Vendor Prices'!$H$5:$H$58,MATCH(W9,'Vendor Prices'!$A$5:$A$58,0)))/1000000*(1+Inputs!$B$7))</f>
        <v>0.022788</v>
      </c>
      <c r="Y9" s="27" t="n">
        <f aca="false">(1-Inputs!$B$15)*V9+Inputs!$B$15*X9</f>
        <v>0.00797500875</v>
      </c>
      <c r="Z9" s="27" t="n">
        <f aca="false">L9*Inputs!$B$29</f>
        <v>0</v>
      </c>
      <c r="AA9" s="27" t="n">
        <f aca="false">IF(M9="",0,N9*INDEX('Vendor Prices'!$G$5:$G$58,MATCH(M9,'Vendor Prices'!$A$5:$A$58,0))*(1+INDEX('Vendor Prices'!$J$5:$J$58,MATCH(M9,'Vendor Prices'!$A$5:$A$58,0))*Inputs!$B$7))</f>
        <v>0</v>
      </c>
      <c r="AB9" s="62" t="n">
        <f aca="false">Y9+Z9+AA9+O9</f>
        <v>0.00797500875</v>
      </c>
      <c r="AC9" s="19" t="n">
        <v>1.5</v>
      </c>
      <c r="AD9" s="27" t="n">
        <f aca="false">AB9*AC9</f>
        <v>0.011962513125</v>
      </c>
      <c r="AE9" s="17"/>
    </row>
    <row r="10" customFormat="false" ht="15" hidden="false" customHeight="false" outlineLevel="0" collapsed="false">
      <c r="A10" s="7" t="s">
        <v>702</v>
      </c>
      <c r="B10" s="12" t="s">
        <v>684</v>
      </c>
      <c r="C10" s="17" t="s">
        <v>703</v>
      </c>
      <c r="D10" s="17" t="s">
        <v>704</v>
      </c>
      <c r="E10" s="21" t="s">
        <v>105</v>
      </c>
      <c r="F10" s="21" t="s">
        <v>103</v>
      </c>
      <c r="G10" s="34" t="n">
        <v>8000</v>
      </c>
      <c r="H10" s="34" t="n">
        <v>4000</v>
      </c>
      <c r="I10" s="25" t="n">
        <v>1</v>
      </c>
      <c r="J10" s="24" t="n">
        <v>0</v>
      </c>
      <c r="K10" s="60"/>
      <c r="L10" s="25" t="n">
        <v>0</v>
      </c>
      <c r="M10" s="21"/>
      <c r="N10" s="60"/>
      <c r="O10" s="60"/>
      <c r="P10" s="12" t="str">
        <f aca="false">IF(E10="PREMIUM",Inputs!$B$9,IF(E10="WORKHORSE",Inputs!$B$10,IF(E10="ECONOMY",Inputs!$B$11,E10)))</f>
        <v>anthropic/claude-opus-5.5</v>
      </c>
      <c r="Q10" s="43" t="n">
        <f aca="false">IF(K10&lt;&gt;"",K10,IF(F10="",0,IFERROR(INDEX(Inputs!$B$42:$D$44,MATCH(E10,Inputs!$A$42:$A$44,0),IF(F10="low",1,IF(F10="medium",2,3))),0)))</f>
        <v>3000</v>
      </c>
      <c r="R10" s="39" t="n">
        <f aca="false">IF(P10="",0,INDEX('Vendor Prices'!$G$5:$G$58,MATCH(P10,'Vendor Prices'!$A$5:$A$58,0)))</f>
        <v>4</v>
      </c>
      <c r="S10" s="39" t="n">
        <f aca="false">IF(P10="",0,INDEX('Vendor Prices'!$H$5:$H$58,MATCH(P10,'Vendor Prices'!$A$5:$A$58,0)))</f>
        <v>20</v>
      </c>
      <c r="T10" s="27" t="n">
        <f aca="false">IF(P10="",0,IF(INDEX('Vendor Prices'!$I$5:$I$58,MATCH(P10,'Vendor Prices'!$A$5:$A$58,0))=0,R10,INDEX('Vendor Prices'!$I$5:$I$58,MATCH(P10,'Vendor Prices'!$A$5:$A$58,0))))</f>
        <v>0.2</v>
      </c>
      <c r="U10" s="61" t="n">
        <f aca="false">IF(LEFT(P10,10)="anthropic/",Inputs!$B$8,1)</f>
        <v>1.15</v>
      </c>
      <c r="V10" s="27" t="n">
        <f aca="false">IF(P10="",0,I10*(G10*U10*((1-J10)*R10+J10*T10)+(H10+Q10)*U10*S10)/1000000*(1+Inputs!$B$7))</f>
        <v>0.208679</v>
      </c>
      <c r="W10" s="12" t="str">
        <f aca="false">IF(E10="PREMIUM",Inputs!$B$12,IF(E10="WORKHORSE",Inputs!$B$13,IF(E10="ECONOMY",Inputs!$B$14,"")))</f>
        <v>google/gemini-3.8-flash</v>
      </c>
      <c r="X10" s="27" t="n">
        <f aca="false">IF(W10="",V10,I10*(G10*((1-J10)*INDEX('Vendor Prices'!$G$5:$G$58,MATCH(W10,'Vendor Prices'!$A$5:$A$58,0))+J10*INDEX('Vendor Prices'!$I$5:$I$58,MATCH(W10,'Vendor Prices'!$A$5:$A$58,0)))+(H10+Q10)*INDEX('Vendor Prices'!$H$5:$H$58,MATCH(W10,'Vendor Prices'!$A$5:$A$58,0)))/1000000*(1+Inputs!$B$7))</f>
        <v>0.03402375</v>
      </c>
      <c r="Y10" s="27" t="n">
        <f aca="false">(1-Inputs!$B$15)*V10+Inputs!$B$15*X10</f>
        <v>0.2034393425</v>
      </c>
      <c r="Z10" s="27" t="n">
        <f aca="false">L10*Inputs!$B$29</f>
        <v>0</v>
      </c>
      <c r="AA10" s="27" t="n">
        <f aca="false">IF(M10="",0,N10*INDEX('Vendor Prices'!$G$5:$G$58,MATCH(M10,'Vendor Prices'!$A$5:$A$58,0))*(1+INDEX('Vendor Prices'!$J$5:$J$58,MATCH(M10,'Vendor Prices'!$A$5:$A$58,0))*Inputs!$B$7))</f>
        <v>0</v>
      </c>
      <c r="AB10" s="62" t="n">
        <f aca="false">Y10+Z10+AA10+O10</f>
        <v>0.2034393425</v>
      </c>
      <c r="AC10" s="19" t="n">
        <v>1.5</v>
      </c>
      <c r="AD10" s="27" t="n">
        <f aca="false">AB10*AC10</f>
        <v>0.30515901375</v>
      </c>
      <c r="AE10" s="17" t="s">
        <v>705</v>
      </c>
    </row>
    <row r="11" customFormat="false" ht="15" hidden="false" customHeight="false" outlineLevel="0" collapsed="false">
      <c r="A11" s="7" t="s">
        <v>706</v>
      </c>
      <c r="B11" s="12" t="s">
        <v>684</v>
      </c>
      <c r="C11" s="17" t="s">
        <v>707</v>
      </c>
      <c r="D11" s="17" t="s">
        <v>708</v>
      </c>
      <c r="E11" s="21" t="s">
        <v>106</v>
      </c>
      <c r="F11" s="21" t="s">
        <v>103</v>
      </c>
      <c r="G11" s="34" t="n">
        <v>16000</v>
      </c>
      <c r="H11" s="34" t="n">
        <v>5000</v>
      </c>
      <c r="I11" s="25" t="n">
        <v>1</v>
      </c>
      <c r="J11" s="24" t="n">
        <v>0</v>
      </c>
      <c r="K11" s="60"/>
      <c r="L11" s="25" t="n">
        <v>0</v>
      </c>
      <c r="M11" s="21"/>
      <c r="N11" s="60"/>
      <c r="O11" s="60"/>
      <c r="P11" s="12" t="str">
        <f aca="false">IF(E11="PREMIUM",Inputs!$B$9,IF(E11="WORKHORSE",Inputs!$B$10,IF(E11="ECONOMY",Inputs!$B$11,E11)))</f>
        <v>google/gemini-3.8-flash</v>
      </c>
      <c r="Q11" s="43" t="n">
        <f aca="false">IF(K11&lt;&gt;"",K11,IF(F11="",0,IFERROR(INDEX(Inputs!$B$42:$D$44,MATCH(E11,Inputs!$A$42:$A$44,0),IF(F11="low",1,IF(F11="medium",2,3))),0)))</f>
        <v>1800</v>
      </c>
      <c r="R11" s="39" t="n">
        <f aca="false">IF(P11="",0,INDEX('Vendor Prices'!$G$5:$G$58,MATCH(P11,'Vendor Prices'!$A$5:$A$58,0)))</f>
        <v>0.75</v>
      </c>
      <c r="S11" s="39" t="n">
        <f aca="false">IF(P11="",0,INDEX('Vendor Prices'!$H$5:$H$58,MATCH(P11,'Vendor Prices'!$A$5:$A$58,0)))</f>
        <v>3.75</v>
      </c>
      <c r="T11" s="27" t="n">
        <f aca="false">IF(P11="",0,IF(INDEX('Vendor Prices'!$I$5:$I$58,MATCH(P11,'Vendor Prices'!$A$5:$A$58,0))=0,R11,INDEX('Vendor Prices'!$I$5:$I$58,MATCH(P11,'Vendor Prices'!$A$5:$A$58,0))))</f>
        <v>0.1875</v>
      </c>
      <c r="U11" s="61" t="n">
        <f aca="false">IF(LEFT(P11,10)="anthropic/",Inputs!$B$8,1)</f>
        <v>1</v>
      </c>
      <c r="V11" s="27" t="n">
        <f aca="false">IF(P11="",0,I11*(G11*U11*((1-J11)*R11+J11*T11)+(H11+Q11)*U11*S11)/1000000*(1+Inputs!$B$7))</f>
        <v>0.0395625</v>
      </c>
      <c r="W11" s="12" t="str">
        <f aca="false">IF(E11="PREMIUM",Inputs!$B$12,IF(E11="WORKHORSE",Inputs!$B$13,IF(E11="ECONOMY",Inputs!$B$14,"")))</f>
        <v>openai/gpt-5.6-terra</v>
      </c>
      <c r="X11" s="27" t="n">
        <f aca="false">IF(W11="",V11,I11*(G11*((1-J11)*INDEX('Vendor Prices'!$G$5:$G$58,MATCH(W11,'Vendor Prices'!$A$5:$A$58,0))+J11*INDEX('Vendor Prices'!$I$5:$I$58,MATCH(W11,'Vendor Prices'!$A$5:$A$58,0)))+(H11+Q11)*INDEX('Vendor Prices'!$H$5:$H$58,MATCH(W11,'Vendor Prices'!$A$5:$A$58,0)))/1000000*(1+Inputs!$B$7))</f>
        <v>0.119848</v>
      </c>
      <c r="Y11" s="27" t="n">
        <f aca="false">(1-Inputs!$B$15)*V11+Inputs!$B$15*X11</f>
        <v>0.041971065</v>
      </c>
      <c r="Z11" s="27" t="n">
        <f aca="false">L11*Inputs!$B$29</f>
        <v>0</v>
      </c>
      <c r="AA11" s="27" t="n">
        <f aca="false">IF(M11="",0,N11*INDEX('Vendor Prices'!$G$5:$G$58,MATCH(M11,'Vendor Prices'!$A$5:$A$58,0))*(1+INDEX('Vendor Prices'!$J$5:$J$58,MATCH(M11,'Vendor Prices'!$A$5:$A$58,0))*Inputs!$B$7))</f>
        <v>0</v>
      </c>
      <c r="AB11" s="62" t="n">
        <f aca="false">Y11+Z11+AA11+O11</f>
        <v>0.041971065</v>
      </c>
      <c r="AC11" s="19" t="n">
        <v>1.5</v>
      </c>
      <c r="AD11" s="27" t="n">
        <f aca="false">AB11*AC11</f>
        <v>0.0629565975</v>
      </c>
      <c r="AE11" s="17"/>
    </row>
    <row r="12" customFormat="false" ht="15" hidden="false" customHeight="false" outlineLevel="0" collapsed="false">
      <c r="A12" s="7" t="s">
        <v>709</v>
      </c>
      <c r="B12" s="12" t="s">
        <v>684</v>
      </c>
      <c r="C12" s="17" t="s">
        <v>710</v>
      </c>
      <c r="D12" s="17" t="s">
        <v>711</v>
      </c>
      <c r="E12" s="21" t="s">
        <v>106</v>
      </c>
      <c r="F12" s="21" t="s">
        <v>102</v>
      </c>
      <c r="G12" s="34" t="n">
        <v>4000</v>
      </c>
      <c r="H12" s="34" t="n">
        <v>1500</v>
      </c>
      <c r="I12" s="25" t="n">
        <v>1</v>
      </c>
      <c r="J12" s="24" t="n">
        <v>0</v>
      </c>
      <c r="K12" s="60"/>
      <c r="L12" s="25" t="n">
        <v>0</v>
      </c>
      <c r="M12" s="21"/>
      <c r="N12" s="60"/>
      <c r="O12" s="60"/>
      <c r="P12" s="12" t="str">
        <f aca="false">IF(E12="PREMIUM",Inputs!$B$9,IF(E12="WORKHORSE",Inputs!$B$10,IF(E12="ECONOMY",Inputs!$B$11,E12)))</f>
        <v>google/gemini-3.8-flash</v>
      </c>
      <c r="Q12" s="43" t="n">
        <f aca="false">IF(K12&lt;&gt;"",K12,IF(F12="",0,IFERROR(INDEX(Inputs!$B$42:$D$44,MATCH(E12,Inputs!$A$42:$A$44,0),IF(F12="low",1,IF(F12="medium",2,3))),0)))</f>
        <v>500</v>
      </c>
      <c r="R12" s="39" t="n">
        <f aca="false">IF(P12="",0,INDEX('Vendor Prices'!$G$5:$G$58,MATCH(P12,'Vendor Prices'!$A$5:$A$58,0)))</f>
        <v>0.75</v>
      </c>
      <c r="S12" s="39" t="n">
        <f aca="false">IF(P12="",0,INDEX('Vendor Prices'!$H$5:$H$58,MATCH(P12,'Vendor Prices'!$A$5:$A$58,0)))</f>
        <v>3.75</v>
      </c>
      <c r="T12" s="27" t="n">
        <f aca="false">IF(P12="",0,IF(INDEX('Vendor Prices'!$I$5:$I$58,MATCH(P12,'Vendor Prices'!$A$5:$A$58,0))=0,R12,INDEX('Vendor Prices'!$I$5:$I$58,MATCH(P12,'Vendor Prices'!$A$5:$A$58,0))))</f>
        <v>0.1875</v>
      </c>
      <c r="U12" s="61" t="n">
        <f aca="false">IF(LEFT(P12,10)="anthropic/",Inputs!$B$8,1)</f>
        <v>1</v>
      </c>
      <c r="V12" s="27" t="n">
        <f aca="false">IF(P12="",0,I12*(G12*U12*((1-J12)*R12+J12*T12)+(H12+Q12)*U12*S12)/1000000*(1+Inputs!$B$7))</f>
        <v>0.0110775</v>
      </c>
      <c r="W12" s="12" t="str">
        <f aca="false">IF(E12="PREMIUM",Inputs!$B$12,IF(E12="WORKHORSE",Inputs!$B$13,IF(E12="ECONOMY",Inputs!$B$14,"")))</f>
        <v>openai/gpt-5.6-terra</v>
      </c>
      <c r="X12" s="27" t="n">
        <f aca="false">IF(W12="",V12,I12*(G12*((1-J12)*INDEX('Vendor Prices'!$G$5:$G$58,MATCH(W12,'Vendor Prices'!$A$5:$A$58,0))+J12*INDEX('Vendor Prices'!$I$5:$I$58,MATCH(W12,'Vendor Prices'!$A$5:$A$58,0)))+(H12+Q12)*INDEX('Vendor Prices'!$H$5:$H$58,MATCH(W12,'Vendor Prices'!$A$5:$A$58,0)))/1000000*(1+Inputs!$B$7))</f>
        <v>0.03376</v>
      </c>
      <c r="Y12" s="27" t="n">
        <f aca="false">(1-Inputs!$B$15)*V12+Inputs!$B$15*X12</f>
        <v>0.011757975</v>
      </c>
      <c r="Z12" s="27" t="n">
        <f aca="false">L12*Inputs!$B$29</f>
        <v>0</v>
      </c>
      <c r="AA12" s="27" t="n">
        <f aca="false">IF(M12="",0,N12*INDEX('Vendor Prices'!$G$5:$G$58,MATCH(M12,'Vendor Prices'!$A$5:$A$58,0))*(1+INDEX('Vendor Prices'!$J$5:$J$58,MATCH(M12,'Vendor Prices'!$A$5:$A$58,0))*Inputs!$B$7))</f>
        <v>0</v>
      </c>
      <c r="AB12" s="62" t="n">
        <f aca="false">Y12+Z12+AA12+O12</f>
        <v>0.011757975</v>
      </c>
      <c r="AC12" s="19" t="n">
        <v>1.5</v>
      </c>
      <c r="AD12" s="27" t="n">
        <f aca="false">AB12*AC12</f>
        <v>0.0176369625</v>
      </c>
      <c r="AE12" s="17"/>
    </row>
    <row r="13" customFormat="false" ht="15" hidden="false" customHeight="false" outlineLevel="0" collapsed="false">
      <c r="A13" s="7" t="s">
        <v>712</v>
      </c>
      <c r="B13" s="12" t="s">
        <v>684</v>
      </c>
      <c r="C13" s="17" t="s">
        <v>713</v>
      </c>
      <c r="D13" s="17" t="s">
        <v>714</v>
      </c>
      <c r="E13" s="21" t="s">
        <v>106</v>
      </c>
      <c r="F13" s="21" t="s">
        <v>102</v>
      </c>
      <c r="G13" s="34" t="n">
        <v>5000</v>
      </c>
      <c r="H13" s="34" t="n">
        <v>800</v>
      </c>
      <c r="I13" s="25" t="n">
        <v>1</v>
      </c>
      <c r="J13" s="24" t="n">
        <v>0</v>
      </c>
      <c r="K13" s="60"/>
      <c r="L13" s="25" t="n">
        <v>0</v>
      </c>
      <c r="M13" s="21"/>
      <c r="N13" s="60"/>
      <c r="O13" s="60"/>
      <c r="P13" s="12" t="str">
        <f aca="false">IF(E13="PREMIUM",Inputs!$B$9,IF(E13="WORKHORSE",Inputs!$B$10,IF(E13="ECONOMY",Inputs!$B$11,E13)))</f>
        <v>google/gemini-3.8-flash</v>
      </c>
      <c r="Q13" s="43" t="n">
        <f aca="false">IF(K13&lt;&gt;"",K13,IF(F13="",0,IFERROR(INDEX(Inputs!$B$42:$D$44,MATCH(E13,Inputs!$A$42:$A$44,0),IF(F13="low",1,IF(F13="medium",2,3))),0)))</f>
        <v>500</v>
      </c>
      <c r="R13" s="39" t="n">
        <f aca="false">IF(P13="",0,INDEX('Vendor Prices'!$G$5:$G$58,MATCH(P13,'Vendor Prices'!$A$5:$A$58,0)))</f>
        <v>0.75</v>
      </c>
      <c r="S13" s="39" t="n">
        <f aca="false">IF(P13="",0,INDEX('Vendor Prices'!$H$5:$H$58,MATCH(P13,'Vendor Prices'!$A$5:$A$58,0)))</f>
        <v>3.75</v>
      </c>
      <c r="T13" s="27" t="n">
        <f aca="false">IF(P13="",0,IF(INDEX('Vendor Prices'!$I$5:$I$58,MATCH(P13,'Vendor Prices'!$A$5:$A$58,0))=0,R13,INDEX('Vendor Prices'!$I$5:$I$58,MATCH(P13,'Vendor Prices'!$A$5:$A$58,0))))</f>
        <v>0.1875</v>
      </c>
      <c r="U13" s="61" t="n">
        <f aca="false">IF(LEFT(P13,10)="anthropic/",Inputs!$B$8,1)</f>
        <v>1</v>
      </c>
      <c r="V13" s="27" t="n">
        <f aca="false">IF(P13="",0,I13*(G13*U13*((1-J13)*R13+J13*T13)+(H13+Q13)*U13*S13)/1000000*(1+Inputs!$B$7))</f>
        <v>0.009099375</v>
      </c>
      <c r="W13" s="12" t="str">
        <f aca="false">IF(E13="PREMIUM",Inputs!$B$12,IF(E13="WORKHORSE",Inputs!$B$13,IF(E13="ECONOMY",Inputs!$B$14,"")))</f>
        <v>openai/gpt-5.6-terra</v>
      </c>
      <c r="X13" s="27" t="n">
        <f aca="false">IF(W13="",V13,I13*(G13*((1-J13)*INDEX('Vendor Prices'!$G$5:$G$58,MATCH(W13,'Vendor Prices'!$A$5:$A$58,0))+J13*INDEX('Vendor Prices'!$I$5:$I$58,MATCH(W13,'Vendor Prices'!$A$5:$A$58,0)))+(H13+Q13)*INDEX('Vendor Prices'!$H$5:$H$58,MATCH(W13,'Vendor Prices'!$A$5:$A$58,0)))/1000000*(1+Inputs!$B$7))</f>
        <v>0.027008</v>
      </c>
      <c r="Y13" s="27" t="n">
        <f aca="false">(1-Inputs!$B$15)*V13+Inputs!$B$15*X13</f>
        <v>0.00963663375</v>
      </c>
      <c r="Z13" s="27" t="n">
        <f aca="false">L13*Inputs!$B$29</f>
        <v>0</v>
      </c>
      <c r="AA13" s="27" t="n">
        <f aca="false">IF(M13="",0,N13*INDEX('Vendor Prices'!$G$5:$G$58,MATCH(M13,'Vendor Prices'!$A$5:$A$58,0))*(1+INDEX('Vendor Prices'!$J$5:$J$58,MATCH(M13,'Vendor Prices'!$A$5:$A$58,0))*Inputs!$B$7))</f>
        <v>0</v>
      </c>
      <c r="AB13" s="62" t="n">
        <f aca="false">Y13+Z13+AA13+O13</f>
        <v>0.00963663375</v>
      </c>
      <c r="AC13" s="19" t="n">
        <v>1.5</v>
      </c>
      <c r="AD13" s="27" t="n">
        <f aca="false">AB13*AC13</f>
        <v>0.014454950625</v>
      </c>
      <c r="AE13" s="17"/>
    </row>
    <row r="14" customFormat="false" ht="15" hidden="false" customHeight="false" outlineLevel="0" collapsed="false">
      <c r="A14" s="7" t="s">
        <v>715</v>
      </c>
      <c r="B14" s="12" t="s">
        <v>684</v>
      </c>
      <c r="C14" s="17" t="s">
        <v>716</v>
      </c>
      <c r="D14" s="17" t="s">
        <v>717</v>
      </c>
      <c r="E14" s="21" t="s">
        <v>106</v>
      </c>
      <c r="F14" s="21" t="s">
        <v>102</v>
      </c>
      <c r="G14" s="34" t="n">
        <v>6000</v>
      </c>
      <c r="H14" s="34" t="n">
        <v>2000</v>
      </c>
      <c r="I14" s="25" t="n">
        <v>1</v>
      </c>
      <c r="J14" s="24" t="n">
        <v>0</v>
      </c>
      <c r="K14" s="60"/>
      <c r="L14" s="25" t="n">
        <v>0</v>
      </c>
      <c r="M14" s="21"/>
      <c r="N14" s="60"/>
      <c r="O14" s="60"/>
      <c r="P14" s="12" t="str">
        <f aca="false">IF(E14="PREMIUM",Inputs!$B$9,IF(E14="WORKHORSE",Inputs!$B$10,IF(E14="ECONOMY",Inputs!$B$11,E14)))</f>
        <v>google/gemini-3.8-flash</v>
      </c>
      <c r="Q14" s="43" t="n">
        <f aca="false">IF(K14&lt;&gt;"",K14,IF(F14="",0,IFERROR(INDEX(Inputs!$B$42:$D$44,MATCH(E14,Inputs!$A$42:$A$44,0),IF(F14="low",1,IF(F14="medium",2,3))),0)))</f>
        <v>500</v>
      </c>
      <c r="R14" s="39" t="n">
        <f aca="false">IF(P14="",0,INDEX('Vendor Prices'!$G$5:$G$58,MATCH(P14,'Vendor Prices'!$A$5:$A$58,0)))</f>
        <v>0.75</v>
      </c>
      <c r="S14" s="39" t="n">
        <f aca="false">IF(P14="",0,INDEX('Vendor Prices'!$H$5:$H$58,MATCH(P14,'Vendor Prices'!$A$5:$A$58,0)))</f>
        <v>3.75</v>
      </c>
      <c r="T14" s="27" t="n">
        <f aca="false">IF(P14="",0,IF(INDEX('Vendor Prices'!$I$5:$I$58,MATCH(P14,'Vendor Prices'!$A$5:$A$58,0))=0,R14,INDEX('Vendor Prices'!$I$5:$I$58,MATCH(P14,'Vendor Prices'!$A$5:$A$58,0))))</f>
        <v>0.1875</v>
      </c>
      <c r="U14" s="61" t="n">
        <f aca="false">IF(LEFT(P14,10)="anthropic/",Inputs!$B$8,1)</f>
        <v>1</v>
      </c>
      <c r="V14" s="27" t="n">
        <f aca="false">IF(P14="",0,I14*(G14*U14*((1-J14)*R14+J14*T14)+(H14+Q14)*U14*S14)/1000000*(1+Inputs!$B$7))</f>
        <v>0.014638125</v>
      </c>
      <c r="W14" s="12" t="str">
        <f aca="false">IF(E14="PREMIUM",Inputs!$B$12,IF(E14="WORKHORSE",Inputs!$B$13,IF(E14="ECONOMY",Inputs!$B$14,"")))</f>
        <v>openai/gpt-5.6-terra</v>
      </c>
      <c r="X14" s="27" t="n">
        <f aca="false">IF(W14="",V14,I14*(G14*((1-J14)*INDEX('Vendor Prices'!$G$5:$G$58,MATCH(W14,'Vendor Prices'!$A$5:$A$58,0))+J14*INDEX('Vendor Prices'!$I$5:$I$58,MATCH(W14,'Vendor Prices'!$A$5:$A$58,0)))+(H14+Q14)*INDEX('Vendor Prices'!$H$5:$H$58,MATCH(W14,'Vendor Prices'!$A$5:$A$58,0)))/1000000*(1+Inputs!$B$7))</f>
        <v>0.04431</v>
      </c>
      <c r="Y14" s="27" t="n">
        <f aca="false">(1-Inputs!$B$15)*V14+Inputs!$B$15*X14</f>
        <v>0.01552828125</v>
      </c>
      <c r="Z14" s="27" t="n">
        <f aca="false">L14*Inputs!$B$29</f>
        <v>0</v>
      </c>
      <c r="AA14" s="27" t="n">
        <f aca="false">IF(M14="",0,N14*INDEX('Vendor Prices'!$G$5:$G$58,MATCH(M14,'Vendor Prices'!$A$5:$A$58,0))*(1+INDEX('Vendor Prices'!$J$5:$J$58,MATCH(M14,'Vendor Prices'!$A$5:$A$58,0))*Inputs!$B$7))</f>
        <v>0</v>
      </c>
      <c r="AB14" s="62" t="n">
        <f aca="false">Y14+Z14+AA14+O14</f>
        <v>0.01552828125</v>
      </c>
      <c r="AC14" s="19" t="n">
        <v>1.5</v>
      </c>
      <c r="AD14" s="27" t="n">
        <f aca="false">AB14*AC14</f>
        <v>0.023292421875</v>
      </c>
      <c r="AE14" s="17"/>
    </row>
    <row r="15" customFormat="false" ht="15" hidden="false" customHeight="false" outlineLevel="0" collapsed="false">
      <c r="A15" s="7" t="s">
        <v>718</v>
      </c>
      <c r="B15" s="12" t="s">
        <v>684</v>
      </c>
      <c r="C15" s="17" t="s">
        <v>719</v>
      </c>
      <c r="D15" s="17" t="s">
        <v>720</v>
      </c>
      <c r="E15" s="21" t="s">
        <v>106</v>
      </c>
      <c r="F15" s="21" t="s">
        <v>102</v>
      </c>
      <c r="G15" s="34" t="n">
        <v>2000</v>
      </c>
      <c r="H15" s="34" t="n">
        <v>600</v>
      </c>
      <c r="I15" s="25" t="n">
        <v>1</v>
      </c>
      <c r="J15" s="24" t="n">
        <v>0</v>
      </c>
      <c r="K15" s="60"/>
      <c r="L15" s="25" t="n">
        <v>0</v>
      </c>
      <c r="M15" s="21"/>
      <c r="N15" s="60"/>
      <c r="O15" s="60"/>
      <c r="P15" s="12" t="str">
        <f aca="false">IF(E15="PREMIUM",Inputs!$B$9,IF(E15="WORKHORSE",Inputs!$B$10,IF(E15="ECONOMY",Inputs!$B$11,E15)))</f>
        <v>google/gemini-3.8-flash</v>
      </c>
      <c r="Q15" s="43" t="n">
        <f aca="false">IF(K15&lt;&gt;"",K15,IF(F15="",0,IFERROR(INDEX(Inputs!$B$42:$D$44,MATCH(E15,Inputs!$A$42:$A$44,0),IF(F15="low",1,IF(F15="medium",2,3))),0)))</f>
        <v>500</v>
      </c>
      <c r="R15" s="39" t="n">
        <f aca="false">IF(P15="",0,INDEX('Vendor Prices'!$G$5:$G$58,MATCH(P15,'Vendor Prices'!$A$5:$A$58,0)))</f>
        <v>0.75</v>
      </c>
      <c r="S15" s="39" t="n">
        <f aca="false">IF(P15="",0,INDEX('Vendor Prices'!$H$5:$H$58,MATCH(P15,'Vendor Prices'!$A$5:$A$58,0)))</f>
        <v>3.75</v>
      </c>
      <c r="T15" s="27" t="n">
        <f aca="false">IF(P15="",0,IF(INDEX('Vendor Prices'!$I$5:$I$58,MATCH(P15,'Vendor Prices'!$A$5:$A$58,0))=0,R15,INDEX('Vendor Prices'!$I$5:$I$58,MATCH(P15,'Vendor Prices'!$A$5:$A$58,0))))</f>
        <v>0.1875</v>
      </c>
      <c r="U15" s="61" t="n">
        <f aca="false">IF(LEFT(P15,10)="anthropic/",Inputs!$B$8,1)</f>
        <v>1</v>
      </c>
      <c r="V15" s="27" t="n">
        <f aca="false">IF(P15="",0,I15*(G15*U15*((1-J15)*R15+J15*T15)+(H15+Q15)*U15*S15)/1000000*(1+Inputs!$B$7))</f>
        <v>0.005934375</v>
      </c>
      <c r="W15" s="12" t="str">
        <f aca="false">IF(E15="PREMIUM",Inputs!$B$12,IF(E15="WORKHORSE",Inputs!$B$13,IF(E15="ECONOMY",Inputs!$B$14,"")))</f>
        <v>openai/gpt-5.6-terra</v>
      </c>
      <c r="X15" s="27" t="n">
        <f aca="false">IF(W15="",V15,I15*(G15*((1-J15)*INDEX('Vendor Prices'!$G$5:$G$58,MATCH(W15,'Vendor Prices'!$A$5:$A$58,0))+J15*INDEX('Vendor Prices'!$I$5:$I$58,MATCH(W15,'Vendor Prices'!$A$5:$A$58,0)))+(H15+Q15)*INDEX('Vendor Prices'!$H$5:$H$58,MATCH(W15,'Vendor Prices'!$A$5:$A$58,0)))/1000000*(1+Inputs!$B$7))</f>
        <v>0.018146</v>
      </c>
      <c r="Y15" s="27" t="n">
        <f aca="false">(1-Inputs!$B$15)*V15+Inputs!$B$15*X15</f>
        <v>0.00630072375</v>
      </c>
      <c r="Z15" s="27" t="n">
        <f aca="false">L15*Inputs!$B$29</f>
        <v>0</v>
      </c>
      <c r="AA15" s="27" t="n">
        <f aca="false">IF(M15="",0,N15*INDEX('Vendor Prices'!$G$5:$G$58,MATCH(M15,'Vendor Prices'!$A$5:$A$58,0))*(1+INDEX('Vendor Prices'!$J$5:$J$58,MATCH(M15,'Vendor Prices'!$A$5:$A$58,0))*Inputs!$B$7))</f>
        <v>0</v>
      </c>
      <c r="AB15" s="62" t="n">
        <f aca="false">Y15+Z15+AA15+O15</f>
        <v>0.00630072375</v>
      </c>
      <c r="AC15" s="19" t="n">
        <v>1.5</v>
      </c>
      <c r="AD15" s="27" t="n">
        <f aca="false">AB15*AC15</f>
        <v>0.009451085625</v>
      </c>
      <c r="AE15" s="17"/>
    </row>
    <row r="16" customFormat="false" ht="15" hidden="false" customHeight="false" outlineLevel="0" collapsed="false">
      <c r="A16" s="7" t="s">
        <v>394</v>
      </c>
      <c r="B16" s="12" t="s">
        <v>721</v>
      </c>
      <c r="C16" s="17" t="s">
        <v>722</v>
      </c>
      <c r="D16" s="17" t="s">
        <v>723</v>
      </c>
      <c r="E16" s="21"/>
      <c r="F16" s="21"/>
      <c r="G16" s="34" t="n">
        <v>0</v>
      </c>
      <c r="H16" s="34" t="n">
        <v>0</v>
      </c>
      <c r="I16" s="25" t="n">
        <v>1</v>
      </c>
      <c r="J16" s="24" t="n">
        <v>0</v>
      </c>
      <c r="K16" s="60"/>
      <c r="L16" s="25" t="n">
        <v>0</v>
      </c>
      <c r="M16" s="21" t="s">
        <v>724</v>
      </c>
      <c r="N16" s="37" t="n">
        <f aca="false">Inputs!$B$20</f>
        <v>1.3</v>
      </c>
      <c r="O16" s="27" t="n">
        <f aca="false">$AB$7*Inputs!$B$20</f>
        <v>0.001124698575</v>
      </c>
      <c r="P16" s="12" t="n">
        <f aca="false">IF(E16="PREMIUM",Inputs!$B$9,IF(E16="WORKHORSE",Inputs!$B$10,IF(E16="ECONOMY",Inputs!$B$11,E16)))</f>
        <v>0</v>
      </c>
      <c r="Q16" s="43" t="n">
        <f aca="false">IF(K16&lt;&gt;"",K16,IF(F16="",0,IFERROR(INDEX(Inputs!$B$42:$D$44,MATCH(E16,Inputs!$A$42:$A$44,0),IF(F16="low",1,IF(F16="medium",2,3))),0)))</f>
        <v>0</v>
      </c>
      <c r="R16" s="39" t="n">
        <f aca="false">IF(P16="",0,INDEX('Vendor Prices'!$G$5:$G$58,MATCH(P16,'Vendor Prices'!$A$5:$A$58,0)))</f>
        <v>0</v>
      </c>
      <c r="S16" s="39" t="n">
        <f aca="false">IF(P16="",0,INDEX('Vendor Prices'!$H$5:$H$58,MATCH(P16,'Vendor Prices'!$A$5:$A$58,0)))</f>
        <v>0</v>
      </c>
      <c r="T16" s="27" t="n">
        <f aca="false">IF(P16="",0,IF(INDEX('Vendor Prices'!$I$5:$I$58,MATCH(P16,'Vendor Prices'!$A$5:$A$58,0))=0,R16,INDEX('Vendor Prices'!$I$5:$I$58,MATCH(P16,'Vendor Prices'!$A$5:$A$58,0))))</f>
        <v>0</v>
      </c>
      <c r="U16" s="61" t="n">
        <f aca="false">IF(LEFT(P16,10)="anthropic/",Inputs!$B$8,1)</f>
        <v>1</v>
      </c>
      <c r="V16" s="27" t="n">
        <f aca="false">IF(P16="",0,I16*(G16*U16*((1-J16)*R16+J16*T16)+(H16+Q16)*U16*S16)/1000000*(1+Inputs!$B$7))</f>
        <v>0</v>
      </c>
      <c r="W16" s="12" t="str">
        <f aca="false">IF(E16="PREMIUM",Inputs!$B$12,IF(E16="WORKHORSE",Inputs!$B$13,IF(E16="ECONOMY",Inputs!$B$14,"")))</f>
        <v/>
      </c>
      <c r="X16" s="27" t="n">
        <f aca="false">IF(W16="",V16,I16*(G16*((1-J16)*INDEX('Vendor Prices'!$G$5:$G$58,MATCH(W16,'Vendor Prices'!$A$5:$A$58,0))+J16*INDEX('Vendor Prices'!$I$5:$I$58,MATCH(W16,'Vendor Prices'!$A$5:$A$58,0)))+(H16+Q16)*INDEX('Vendor Prices'!$H$5:$H$58,MATCH(W16,'Vendor Prices'!$A$5:$A$58,0)))/1000000*(1+Inputs!$B$7))</f>
        <v>0</v>
      </c>
      <c r="Y16" s="27" t="n">
        <f aca="false">(1-Inputs!$B$15)*V16+Inputs!$B$15*X16</f>
        <v>0</v>
      </c>
      <c r="Z16" s="27" t="n">
        <f aca="false">L16*Inputs!$B$29</f>
        <v>0</v>
      </c>
      <c r="AA16" s="27" t="n">
        <f aca="false">IF(M16="",0,N16*INDEX('Vendor Prices'!$G$5:$G$58,MATCH(M16,'Vendor Prices'!$A$5:$A$58,0))*(1+INDEX('Vendor Prices'!$J$5:$J$58,MATCH(M16,'Vendor Prices'!$A$5:$A$58,0))*Inputs!$B$7))</f>
        <v>0.035659</v>
      </c>
      <c r="AB16" s="62" t="n">
        <f aca="false">Y16+Z16+AA16+O16</f>
        <v>0.036783698575</v>
      </c>
      <c r="AC16" s="19" t="n">
        <v>2</v>
      </c>
      <c r="AD16" s="27" t="n">
        <f aca="false">AB16*AC16</f>
        <v>0.07356739715</v>
      </c>
      <c r="AE16" s="17" t="s">
        <v>725</v>
      </c>
    </row>
    <row r="17" customFormat="false" ht="23.85" hidden="false" customHeight="false" outlineLevel="0" collapsed="false">
      <c r="A17" s="7" t="s">
        <v>396</v>
      </c>
      <c r="B17" s="12" t="s">
        <v>721</v>
      </c>
      <c r="C17" s="17" t="s">
        <v>726</v>
      </c>
      <c r="D17" s="17" t="s">
        <v>727</v>
      </c>
      <c r="E17" s="21"/>
      <c r="F17" s="21"/>
      <c r="G17" s="34" t="n">
        <v>0</v>
      </c>
      <c r="H17" s="34" t="n">
        <v>0</v>
      </c>
      <c r="I17" s="25" t="n">
        <v>1</v>
      </c>
      <c r="J17" s="24" t="n">
        <v>0</v>
      </c>
      <c r="K17" s="60"/>
      <c r="L17" s="25" t="n">
        <v>0</v>
      </c>
      <c r="M17" s="21" t="s">
        <v>728</v>
      </c>
      <c r="N17" s="37" t="n">
        <f aca="false">Inputs!$B$20</f>
        <v>1.3</v>
      </c>
      <c r="O17" s="27" t="n">
        <f aca="false">$AB$7*Inputs!$B$20</f>
        <v>0.001124698575</v>
      </c>
      <c r="P17" s="12" t="n">
        <f aca="false">IF(E17="PREMIUM",Inputs!$B$9,IF(E17="WORKHORSE",Inputs!$B$10,IF(E17="ECONOMY",Inputs!$B$11,E17)))</f>
        <v>0</v>
      </c>
      <c r="Q17" s="43" t="n">
        <f aca="false">IF(K17&lt;&gt;"",K17,IF(F17="",0,IFERROR(INDEX(Inputs!$B$42:$D$44,MATCH(E17,Inputs!$A$42:$A$44,0),IF(F17="low",1,IF(F17="medium",2,3))),0)))</f>
        <v>0</v>
      </c>
      <c r="R17" s="39" t="n">
        <f aca="false">IF(P17="",0,INDEX('Vendor Prices'!$G$5:$G$58,MATCH(P17,'Vendor Prices'!$A$5:$A$58,0)))</f>
        <v>0</v>
      </c>
      <c r="S17" s="39" t="n">
        <f aca="false">IF(P17="",0,INDEX('Vendor Prices'!$H$5:$H$58,MATCH(P17,'Vendor Prices'!$A$5:$A$58,0)))</f>
        <v>0</v>
      </c>
      <c r="T17" s="27" t="n">
        <f aca="false">IF(P17="",0,IF(INDEX('Vendor Prices'!$I$5:$I$58,MATCH(P17,'Vendor Prices'!$A$5:$A$58,0))=0,R17,INDEX('Vendor Prices'!$I$5:$I$58,MATCH(P17,'Vendor Prices'!$A$5:$A$58,0))))</f>
        <v>0</v>
      </c>
      <c r="U17" s="61" t="n">
        <f aca="false">IF(LEFT(P17,10)="anthropic/",Inputs!$B$8,1)</f>
        <v>1</v>
      </c>
      <c r="V17" s="27" t="n">
        <f aca="false">IF(P17="",0,I17*(G17*U17*((1-J17)*R17+J17*T17)+(H17+Q17)*U17*S17)/1000000*(1+Inputs!$B$7))</f>
        <v>0</v>
      </c>
      <c r="W17" s="12" t="str">
        <f aca="false">IF(E17="PREMIUM",Inputs!$B$12,IF(E17="WORKHORSE",Inputs!$B$13,IF(E17="ECONOMY",Inputs!$B$14,"")))</f>
        <v/>
      </c>
      <c r="X17" s="27" t="n">
        <f aca="false">IF(W17="",V17,I17*(G17*((1-J17)*INDEX('Vendor Prices'!$G$5:$G$58,MATCH(W17,'Vendor Prices'!$A$5:$A$58,0))+J17*INDEX('Vendor Prices'!$I$5:$I$58,MATCH(W17,'Vendor Prices'!$A$5:$A$58,0)))+(H17+Q17)*INDEX('Vendor Prices'!$H$5:$H$58,MATCH(W17,'Vendor Prices'!$A$5:$A$58,0)))/1000000*(1+Inputs!$B$7))</f>
        <v>0</v>
      </c>
      <c r="Y17" s="27" t="n">
        <f aca="false">(1-Inputs!$B$15)*V17+Inputs!$B$15*X17</f>
        <v>0</v>
      </c>
      <c r="Z17" s="27" t="n">
        <f aca="false">L17*Inputs!$B$29</f>
        <v>0</v>
      </c>
      <c r="AA17" s="27" t="n">
        <f aca="false">IF(M17="",0,N17*INDEX('Vendor Prices'!$G$5:$G$58,MATCH(M17,'Vendor Prices'!$A$5:$A$58,0))*(1+INDEX('Vendor Prices'!$J$5:$J$58,MATCH(M17,'Vendor Prices'!$A$5:$A$58,0))*Inputs!$B$7))</f>
        <v>0.085033</v>
      </c>
      <c r="AB17" s="62" t="n">
        <f aca="false">Y17+Z17+AA17+O17</f>
        <v>0.086157698575</v>
      </c>
      <c r="AC17" s="19" t="n">
        <v>1.5</v>
      </c>
      <c r="AD17" s="27" t="n">
        <f aca="false">AB17*AC17</f>
        <v>0.1292365478625</v>
      </c>
      <c r="AE17" s="17"/>
    </row>
    <row r="18" customFormat="false" ht="15" hidden="false" customHeight="false" outlineLevel="0" collapsed="false">
      <c r="A18" s="7" t="s">
        <v>399</v>
      </c>
      <c r="B18" s="12" t="s">
        <v>721</v>
      </c>
      <c r="C18" s="17" t="s">
        <v>729</v>
      </c>
      <c r="D18" s="17" t="s">
        <v>730</v>
      </c>
      <c r="E18" s="21"/>
      <c r="F18" s="21"/>
      <c r="G18" s="34" t="n">
        <v>0</v>
      </c>
      <c r="H18" s="34" t="n">
        <v>0</v>
      </c>
      <c r="I18" s="25" t="n">
        <v>1</v>
      </c>
      <c r="J18" s="24" t="n">
        <v>0</v>
      </c>
      <c r="K18" s="60"/>
      <c r="L18" s="25" t="n">
        <v>0</v>
      </c>
      <c r="M18" s="21" t="s">
        <v>724</v>
      </c>
      <c r="N18" s="25" t="n">
        <v>1</v>
      </c>
      <c r="O18" s="27" t="n">
        <f aca="false">2*'Vendor Prices'!$G$14*(1+Inputs!$B$7)+$AB$7</f>
        <v>0.02280915275</v>
      </c>
      <c r="P18" s="12" t="n">
        <f aca="false">IF(E18="PREMIUM",Inputs!$B$9,IF(E18="WORKHORSE",Inputs!$B$10,IF(E18="ECONOMY",Inputs!$B$11,E18)))</f>
        <v>0</v>
      </c>
      <c r="Q18" s="43" t="n">
        <f aca="false">IF(K18&lt;&gt;"",K18,IF(F18="",0,IFERROR(INDEX(Inputs!$B$42:$D$44,MATCH(E18,Inputs!$A$42:$A$44,0),IF(F18="low",1,IF(F18="medium",2,3))),0)))</f>
        <v>0</v>
      </c>
      <c r="R18" s="39" t="n">
        <f aca="false">IF(P18="",0,INDEX('Vendor Prices'!$G$5:$G$58,MATCH(P18,'Vendor Prices'!$A$5:$A$58,0)))</f>
        <v>0</v>
      </c>
      <c r="S18" s="39" t="n">
        <f aca="false">IF(P18="",0,INDEX('Vendor Prices'!$H$5:$H$58,MATCH(P18,'Vendor Prices'!$A$5:$A$58,0)))</f>
        <v>0</v>
      </c>
      <c r="T18" s="27" t="n">
        <f aca="false">IF(P18="",0,IF(INDEX('Vendor Prices'!$I$5:$I$58,MATCH(P18,'Vendor Prices'!$A$5:$A$58,0))=0,R18,INDEX('Vendor Prices'!$I$5:$I$58,MATCH(P18,'Vendor Prices'!$A$5:$A$58,0))))</f>
        <v>0</v>
      </c>
      <c r="U18" s="61" t="n">
        <f aca="false">IF(LEFT(P18,10)="anthropic/",Inputs!$B$8,1)</f>
        <v>1</v>
      </c>
      <c r="V18" s="27" t="n">
        <f aca="false">IF(P18="",0,I18*(G18*U18*((1-J18)*R18+J18*T18)+(H18+Q18)*U18*S18)/1000000*(1+Inputs!$B$7))</f>
        <v>0</v>
      </c>
      <c r="W18" s="12" t="str">
        <f aca="false">IF(E18="PREMIUM",Inputs!$B$12,IF(E18="WORKHORSE",Inputs!$B$13,IF(E18="ECONOMY",Inputs!$B$14,"")))</f>
        <v/>
      </c>
      <c r="X18" s="27" t="n">
        <f aca="false">IF(W18="",V18,I18*(G18*((1-J18)*INDEX('Vendor Prices'!$G$5:$G$58,MATCH(W18,'Vendor Prices'!$A$5:$A$58,0))+J18*INDEX('Vendor Prices'!$I$5:$I$58,MATCH(W18,'Vendor Prices'!$A$5:$A$58,0)))+(H18+Q18)*INDEX('Vendor Prices'!$H$5:$H$58,MATCH(W18,'Vendor Prices'!$A$5:$A$58,0)))/1000000*(1+Inputs!$B$7))</f>
        <v>0</v>
      </c>
      <c r="Y18" s="27" t="n">
        <f aca="false">(1-Inputs!$B$15)*V18+Inputs!$B$15*X18</f>
        <v>0</v>
      </c>
      <c r="Z18" s="27" t="n">
        <f aca="false">L18*Inputs!$B$29</f>
        <v>0</v>
      </c>
      <c r="AA18" s="27" t="n">
        <f aca="false">IF(M18="",0,N18*INDEX('Vendor Prices'!$G$5:$G$58,MATCH(M18,'Vendor Prices'!$A$5:$A$58,0))*(1+INDEX('Vendor Prices'!$J$5:$J$58,MATCH(M18,'Vendor Prices'!$A$5:$A$58,0))*Inputs!$B$7))</f>
        <v>0.02743</v>
      </c>
      <c r="AB18" s="62" t="n">
        <f aca="false">Y18+Z18+AA18+O18</f>
        <v>0.05023915275</v>
      </c>
      <c r="AC18" s="19" t="n">
        <v>1.8</v>
      </c>
      <c r="AD18" s="27" t="n">
        <f aca="false">AB18*AC18</f>
        <v>0.09043047495</v>
      </c>
      <c r="AE18" s="17"/>
    </row>
    <row r="19" customFormat="false" ht="15" hidden="false" customHeight="false" outlineLevel="0" collapsed="false">
      <c r="A19" s="7" t="s">
        <v>454</v>
      </c>
      <c r="B19" s="12" t="s">
        <v>731</v>
      </c>
      <c r="C19" s="17" t="s">
        <v>732</v>
      </c>
      <c r="D19" s="17" t="s">
        <v>733</v>
      </c>
      <c r="E19" s="21" t="s">
        <v>106</v>
      </c>
      <c r="F19" s="21" t="s">
        <v>102</v>
      </c>
      <c r="G19" s="34" t="n">
        <v>4500</v>
      </c>
      <c r="H19" s="34" t="n">
        <v>700</v>
      </c>
      <c r="I19" s="25" t="n">
        <v>1</v>
      </c>
      <c r="J19" s="24" t="n">
        <v>0.5</v>
      </c>
      <c r="K19" s="60"/>
      <c r="L19" s="25" t="n">
        <v>0.15</v>
      </c>
      <c r="M19" s="21"/>
      <c r="N19" s="60"/>
      <c r="O19" s="27" t="n">
        <f aca="false">$AB$6/8</f>
        <v>0.000353926125</v>
      </c>
      <c r="P19" s="12" t="str">
        <f aca="false">IF(E19="PREMIUM",Inputs!$B$9,IF(E19="WORKHORSE",Inputs!$B$10,IF(E19="ECONOMY",Inputs!$B$11,E19)))</f>
        <v>google/gemini-3.8-flash</v>
      </c>
      <c r="Q19" s="43" t="n">
        <f aca="false">IF(K19&lt;&gt;"",K19,IF(F19="",0,IFERROR(INDEX(Inputs!$B$42:$D$44,MATCH(E19,Inputs!$A$42:$A$44,0),IF(F19="low",1,IF(F19="medium",2,3))),0)))</f>
        <v>500</v>
      </c>
      <c r="R19" s="39" t="n">
        <f aca="false">IF(P19="",0,INDEX('Vendor Prices'!$G$5:$G$58,MATCH(P19,'Vendor Prices'!$A$5:$A$58,0)))</f>
        <v>0.75</v>
      </c>
      <c r="S19" s="39" t="n">
        <f aca="false">IF(P19="",0,INDEX('Vendor Prices'!$H$5:$H$58,MATCH(P19,'Vendor Prices'!$A$5:$A$58,0)))</f>
        <v>3.75</v>
      </c>
      <c r="T19" s="27" t="n">
        <f aca="false">IF(P19="",0,IF(INDEX('Vendor Prices'!$I$5:$I$58,MATCH(P19,'Vendor Prices'!$A$5:$A$58,0))=0,R19,INDEX('Vendor Prices'!$I$5:$I$58,MATCH(P19,'Vendor Prices'!$A$5:$A$58,0))))</f>
        <v>0.1875</v>
      </c>
      <c r="U19" s="61" t="n">
        <f aca="false">IF(LEFT(P19,10)="anthropic/",Inputs!$B$8,1)</f>
        <v>1</v>
      </c>
      <c r="V19" s="27" t="n">
        <f aca="false">IF(P19="",0,I19*(G19*U19*((1-J19)*R19+J19*T19)+(H19+Q19)*U19*S19)/1000000*(1+Inputs!$B$7))</f>
        <v>0.006972890625</v>
      </c>
      <c r="W19" s="12" t="str">
        <f aca="false">IF(E19="PREMIUM",Inputs!$B$12,IF(E19="WORKHORSE",Inputs!$B$13,IF(E19="ECONOMY",Inputs!$B$14,"")))</f>
        <v>openai/gpt-5.6-terra</v>
      </c>
      <c r="X19" s="27" t="n">
        <f aca="false">IF(W19="",V19,I19*(G19*((1-J19)*INDEX('Vendor Prices'!$G$5:$G$58,MATCH(W19,'Vendor Prices'!$A$5:$A$58,0))+J19*INDEX('Vendor Prices'!$I$5:$I$58,MATCH(W19,'Vendor Prices'!$A$5:$A$58,0)))+(H19+Q19)*INDEX('Vendor Prices'!$H$5:$H$58,MATCH(W19,'Vendor Prices'!$A$5:$A$58,0)))/1000000*(1+Inputs!$B$7))</f>
        <v>0.02041425</v>
      </c>
      <c r="Y19" s="27" t="n">
        <f aca="false">(1-Inputs!$B$15)*V19+Inputs!$B$15*X19</f>
        <v>0.00737613140625</v>
      </c>
      <c r="Z19" s="27" t="n">
        <f aca="false">L19*Inputs!$B$29</f>
        <v>0.0012</v>
      </c>
      <c r="AA19" s="27" t="n">
        <f aca="false">IF(M19="",0,N19*INDEX('Vendor Prices'!$G$5:$G$58,MATCH(M19,'Vendor Prices'!$A$5:$A$58,0))*(1+INDEX('Vendor Prices'!$J$5:$J$58,MATCH(M19,'Vendor Prices'!$A$5:$A$58,0))*Inputs!$B$7))</f>
        <v>0</v>
      </c>
      <c r="AB19" s="62" t="n">
        <f aca="false">Y19+Z19+AA19+O19</f>
        <v>0.00893005753125</v>
      </c>
      <c r="AC19" s="19" t="n">
        <v>2</v>
      </c>
      <c r="AD19" s="27" t="n">
        <f aca="false">AB19*AC19</f>
        <v>0.0178601150625</v>
      </c>
      <c r="AE19" s="17" t="s">
        <v>734</v>
      </c>
    </row>
    <row r="20" customFormat="false" ht="23.85" hidden="false" customHeight="false" outlineLevel="0" collapsed="false">
      <c r="A20" s="7" t="s">
        <v>452</v>
      </c>
      <c r="B20" s="12" t="s">
        <v>731</v>
      </c>
      <c r="C20" s="17" t="s">
        <v>735</v>
      </c>
      <c r="D20" s="17" t="s">
        <v>736</v>
      </c>
      <c r="E20" s="21" t="s">
        <v>105</v>
      </c>
      <c r="F20" s="21" t="s">
        <v>102</v>
      </c>
      <c r="G20" s="34" t="n">
        <v>4500</v>
      </c>
      <c r="H20" s="34" t="n">
        <v>700</v>
      </c>
      <c r="I20" s="25" t="n">
        <v>1</v>
      </c>
      <c r="J20" s="24" t="n">
        <v>0.5</v>
      </c>
      <c r="K20" s="60"/>
      <c r="L20" s="25" t="n">
        <v>0.15</v>
      </c>
      <c r="M20" s="21"/>
      <c r="N20" s="60"/>
      <c r="O20" s="27" t="n">
        <f aca="false">$AB$6/8</f>
        <v>0.000353926125</v>
      </c>
      <c r="P20" s="12" t="str">
        <f aca="false">IF(E20="PREMIUM",Inputs!$B$9,IF(E20="WORKHORSE",Inputs!$B$10,IF(E20="ECONOMY",Inputs!$B$11,E20)))</f>
        <v>anthropic/claude-opus-5.5</v>
      </c>
      <c r="Q20" s="43" t="n">
        <f aca="false">IF(K20&lt;&gt;"",K20,IF(F20="",0,IFERROR(INDEX(Inputs!$B$42:$D$44,MATCH(E20,Inputs!$A$42:$A$44,0),IF(F20="low",1,IF(F20="medium",2,3))),0)))</f>
        <v>800</v>
      </c>
      <c r="R20" s="39" t="n">
        <f aca="false">IF(P20="",0,INDEX('Vendor Prices'!$G$5:$G$58,MATCH(P20,'Vendor Prices'!$A$5:$A$58,0)))</f>
        <v>4</v>
      </c>
      <c r="S20" s="39" t="n">
        <f aca="false">IF(P20="",0,INDEX('Vendor Prices'!$H$5:$H$58,MATCH(P20,'Vendor Prices'!$A$5:$A$58,0)))</f>
        <v>20</v>
      </c>
      <c r="T20" s="27" t="n">
        <f aca="false">IF(P20="",0,IF(INDEX('Vendor Prices'!$I$5:$I$58,MATCH(P20,'Vendor Prices'!$A$5:$A$58,0))=0,R20,INDEX('Vendor Prices'!$I$5:$I$58,MATCH(P20,'Vendor Prices'!$A$5:$A$58,0))))</f>
        <v>0.2</v>
      </c>
      <c r="U20" s="61" t="n">
        <f aca="false">IF(LEFT(P20,10)="anthropic/",Inputs!$B$8,1)</f>
        <v>1.15</v>
      </c>
      <c r="V20" s="27" t="n">
        <f aca="false">IF(P20="",0,I20*(G20*U20*((1-J20)*R20+J20*T20)+(H20+Q20)*U20*S20)/1000000*(1+Inputs!$B$7))</f>
        <v>0.0478627125</v>
      </c>
      <c r="W20" s="12" t="str">
        <f aca="false">IF(E20="PREMIUM",Inputs!$B$12,IF(E20="WORKHORSE",Inputs!$B$13,IF(E20="ECONOMY",Inputs!$B$14,"")))</f>
        <v>google/gemini-3.8-flash</v>
      </c>
      <c r="X20" s="27" t="n">
        <f aca="false">IF(W20="",V20,I20*(G20*((1-J20)*INDEX('Vendor Prices'!$G$5:$G$58,MATCH(W20,'Vendor Prices'!$A$5:$A$58,0))+J20*INDEX('Vendor Prices'!$I$5:$I$58,MATCH(W20,'Vendor Prices'!$A$5:$A$58,0)))+(H20+Q20)*INDEX('Vendor Prices'!$H$5:$H$58,MATCH(W20,'Vendor Prices'!$A$5:$A$58,0)))/1000000*(1+Inputs!$B$7))</f>
        <v>0.008159765625</v>
      </c>
      <c r="Y20" s="27" t="n">
        <f aca="false">(1-Inputs!$B$15)*V20+Inputs!$B$15*X20</f>
        <v>0.04667162409375</v>
      </c>
      <c r="Z20" s="27" t="n">
        <f aca="false">L20*Inputs!$B$29</f>
        <v>0.0012</v>
      </c>
      <c r="AA20" s="27" t="n">
        <f aca="false">IF(M20="",0,N20*INDEX('Vendor Prices'!$G$5:$G$58,MATCH(M20,'Vendor Prices'!$A$5:$A$58,0))*(1+INDEX('Vendor Prices'!$J$5:$J$58,MATCH(M20,'Vendor Prices'!$A$5:$A$58,0))*Inputs!$B$7))</f>
        <v>0</v>
      </c>
      <c r="AB20" s="62" t="n">
        <f aca="false">Y20+Z20+AA20+O20</f>
        <v>0.04822555021875</v>
      </c>
      <c r="AC20" s="19" t="n">
        <v>2.5</v>
      </c>
      <c r="AD20" s="27" t="n">
        <f aca="false">AB20*AC20</f>
        <v>0.120563875546875</v>
      </c>
      <c r="AE20" s="17" t="s">
        <v>737</v>
      </c>
    </row>
    <row r="21" customFormat="false" ht="15" hidden="false" customHeight="false" outlineLevel="0" collapsed="false">
      <c r="A21" s="7" t="s">
        <v>738</v>
      </c>
      <c r="B21" s="12" t="s">
        <v>731</v>
      </c>
      <c r="C21" s="17" t="s">
        <v>739</v>
      </c>
      <c r="D21" s="17" t="s">
        <v>738</v>
      </c>
      <c r="E21" s="21" t="s">
        <v>106</v>
      </c>
      <c r="F21" s="21" t="s">
        <v>102</v>
      </c>
      <c r="G21" s="34" t="n">
        <v>1500</v>
      </c>
      <c r="H21" s="34" t="n">
        <v>300</v>
      </c>
      <c r="I21" s="25" t="n">
        <v>1</v>
      </c>
      <c r="J21" s="24" t="n">
        <v>0</v>
      </c>
      <c r="K21" s="60"/>
      <c r="L21" s="25" t="n">
        <v>0</v>
      </c>
      <c r="M21" s="21"/>
      <c r="N21" s="60"/>
      <c r="O21" s="60"/>
      <c r="P21" s="12" t="str">
        <f aca="false">IF(E21="PREMIUM",Inputs!$B$9,IF(E21="WORKHORSE",Inputs!$B$10,IF(E21="ECONOMY",Inputs!$B$11,E21)))</f>
        <v>google/gemini-3.8-flash</v>
      </c>
      <c r="Q21" s="43" t="n">
        <f aca="false">IF(K21&lt;&gt;"",K21,IF(F21="",0,IFERROR(INDEX(Inputs!$B$42:$D$44,MATCH(E21,Inputs!$A$42:$A$44,0),IF(F21="low",1,IF(F21="medium",2,3))),0)))</f>
        <v>500</v>
      </c>
      <c r="R21" s="39" t="n">
        <f aca="false">IF(P21="",0,INDEX('Vendor Prices'!$G$5:$G$58,MATCH(P21,'Vendor Prices'!$A$5:$A$58,0)))</f>
        <v>0.75</v>
      </c>
      <c r="S21" s="39" t="n">
        <f aca="false">IF(P21="",0,INDEX('Vendor Prices'!$H$5:$H$58,MATCH(P21,'Vendor Prices'!$A$5:$A$58,0)))</f>
        <v>3.75</v>
      </c>
      <c r="T21" s="27" t="n">
        <f aca="false">IF(P21="",0,IF(INDEX('Vendor Prices'!$I$5:$I$58,MATCH(P21,'Vendor Prices'!$A$5:$A$58,0))=0,R21,INDEX('Vendor Prices'!$I$5:$I$58,MATCH(P21,'Vendor Prices'!$A$5:$A$58,0))))</f>
        <v>0.1875</v>
      </c>
      <c r="U21" s="61" t="n">
        <f aca="false">IF(LEFT(P21,10)="anthropic/",Inputs!$B$8,1)</f>
        <v>1</v>
      </c>
      <c r="V21" s="27" t="n">
        <f aca="false">IF(P21="",0,I21*(G21*U21*((1-J21)*R21+J21*T21)+(H21+Q21)*U21*S21)/1000000*(1+Inputs!$B$7))</f>
        <v>0.004351875</v>
      </c>
      <c r="W21" s="12" t="str">
        <f aca="false">IF(E21="PREMIUM",Inputs!$B$12,IF(E21="WORKHORSE",Inputs!$B$13,IF(E21="ECONOMY",Inputs!$B$14,"")))</f>
        <v>openai/gpt-5.6-terra</v>
      </c>
      <c r="X21" s="27" t="n">
        <f aca="false">IF(W21="",V21,I21*(G21*((1-J21)*INDEX('Vendor Prices'!$G$5:$G$58,MATCH(W21,'Vendor Prices'!$A$5:$A$58,0))+J21*INDEX('Vendor Prices'!$I$5:$I$58,MATCH(W21,'Vendor Prices'!$A$5:$A$58,0)))+(H21+Q21)*INDEX('Vendor Prices'!$H$5:$H$58,MATCH(W21,'Vendor Prices'!$A$5:$A$58,0)))/1000000*(1+Inputs!$B$7))</f>
        <v>0.013293</v>
      </c>
      <c r="Y21" s="27" t="n">
        <f aca="false">(1-Inputs!$B$15)*V21+Inputs!$B$15*X21</f>
        <v>0.00462010875</v>
      </c>
      <c r="Z21" s="27" t="n">
        <f aca="false">L21*Inputs!$B$29</f>
        <v>0</v>
      </c>
      <c r="AA21" s="27" t="n">
        <f aca="false">IF(M21="",0,N21*INDEX('Vendor Prices'!$G$5:$G$58,MATCH(M21,'Vendor Prices'!$A$5:$A$58,0))*(1+INDEX('Vendor Prices'!$J$5:$J$58,MATCH(M21,'Vendor Prices'!$A$5:$A$58,0))*Inputs!$B$7))</f>
        <v>0</v>
      </c>
      <c r="AB21" s="62" t="n">
        <f aca="false">Y21+Z21+AA21+O21</f>
        <v>0.00462010875</v>
      </c>
      <c r="AC21" s="19" t="n">
        <v>1.5</v>
      </c>
      <c r="AD21" s="27" t="n">
        <f aca="false">AB21*AC21</f>
        <v>0.006930163125</v>
      </c>
      <c r="AE21" s="17"/>
    </row>
    <row r="22" customFormat="false" ht="15" hidden="false" customHeight="false" outlineLevel="0" collapsed="false">
      <c r="A22" s="7" t="s">
        <v>740</v>
      </c>
      <c r="B22" s="12" t="s">
        <v>731</v>
      </c>
      <c r="C22" s="17" t="s">
        <v>741</v>
      </c>
      <c r="D22" s="17" t="s">
        <v>742</v>
      </c>
      <c r="E22" s="21" t="s">
        <v>106</v>
      </c>
      <c r="F22" s="21" t="s">
        <v>102</v>
      </c>
      <c r="G22" s="34" t="n">
        <v>6000</v>
      </c>
      <c r="H22" s="34" t="n">
        <v>1200</v>
      </c>
      <c r="I22" s="25" t="n">
        <v>1</v>
      </c>
      <c r="J22" s="24" t="n">
        <v>0</v>
      </c>
      <c r="K22" s="60"/>
      <c r="L22" s="25" t="n">
        <v>0</v>
      </c>
      <c r="M22" s="21"/>
      <c r="N22" s="60"/>
      <c r="O22" s="60"/>
      <c r="P22" s="12" t="str">
        <f aca="false">IF(E22="PREMIUM",Inputs!$B$9,IF(E22="WORKHORSE",Inputs!$B$10,IF(E22="ECONOMY",Inputs!$B$11,E22)))</f>
        <v>google/gemini-3.8-flash</v>
      </c>
      <c r="Q22" s="43" t="n">
        <f aca="false">IF(K22&lt;&gt;"",K22,IF(F22="",0,IFERROR(INDEX(Inputs!$B$42:$D$44,MATCH(E22,Inputs!$A$42:$A$44,0),IF(F22="low",1,IF(F22="medium",2,3))),0)))</f>
        <v>500</v>
      </c>
      <c r="R22" s="39" t="n">
        <f aca="false">IF(P22="",0,INDEX('Vendor Prices'!$G$5:$G$58,MATCH(P22,'Vendor Prices'!$A$5:$A$58,0)))</f>
        <v>0.75</v>
      </c>
      <c r="S22" s="39" t="n">
        <f aca="false">IF(P22="",0,INDEX('Vendor Prices'!$H$5:$H$58,MATCH(P22,'Vendor Prices'!$A$5:$A$58,0)))</f>
        <v>3.75</v>
      </c>
      <c r="T22" s="27" t="n">
        <f aca="false">IF(P22="",0,IF(INDEX('Vendor Prices'!$I$5:$I$58,MATCH(P22,'Vendor Prices'!$A$5:$A$58,0))=0,R22,INDEX('Vendor Prices'!$I$5:$I$58,MATCH(P22,'Vendor Prices'!$A$5:$A$58,0))))</f>
        <v>0.1875</v>
      </c>
      <c r="U22" s="61" t="n">
        <f aca="false">IF(LEFT(P22,10)="anthropic/",Inputs!$B$8,1)</f>
        <v>1</v>
      </c>
      <c r="V22" s="27" t="n">
        <f aca="false">IF(P22="",0,I22*(G22*U22*((1-J22)*R22+J22*T22)+(H22+Q22)*U22*S22)/1000000*(1+Inputs!$B$7))</f>
        <v>0.011473125</v>
      </c>
      <c r="W22" s="12" t="str">
        <f aca="false">IF(E22="PREMIUM",Inputs!$B$12,IF(E22="WORKHORSE",Inputs!$B$13,IF(E22="ECONOMY",Inputs!$B$14,"")))</f>
        <v>openai/gpt-5.6-terra</v>
      </c>
      <c r="X22" s="27" t="n">
        <f aca="false">IF(W22="",V22,I22*(G22*((1-J22)*INDEX('Vendor Prices'!$G$5:$G$58,MATCH(W22,'Vendor Prices'!$A$5:$A$58,0))+J22*INDEX('Vendor Prices'!$I$5:$I$58,MATCH(W22,'Vendor Prices'!$A$5:$A$58,0)))+(H22+Q22)*INDEX('Vendor Prices'!$H$5:$H$58,MATCH(W22,'Vendor Prices'!$A$5:$A$58,0)))/1000000*(1+Inputs!$B$7))</f>
        <v>0.034182</v>
      </c>
      <c r="Y22" s="27" t="n">
        <f aca="false">(1-Inputs!$B$15)*V22+Inputs!$B$15*X22</f>
        <v>0.01215439125</v>
      </c>
      <c r="Z22" s="27" t="n">
        <f aca="false">L22*Inputs!$B$29</f>
        <v>0</v>
      </c>
      <c r="AA22" s="27" t="n">
        <f aca="false">IF(M22="",0,N22*INDEX('Vendor Prices'!$G$5:$G$58,MATCH(M22,'Vendor Prices'!$A$5:$A$58,0))*(1+INDEX('Vendor Prices'!$J$5:$J$58,MATCH(M22,'Vendor Prices'!$A$5:$A$58,0))*Inputs!$B$7))</f>
        <v>0</v>
      </c>
      <c r="AB22" s="62" t="n">
        <f aca="false">Y22+Z22+AA22+O22</f>
        <v>0.01215439125</v>
      </c>
      <c r="AC22" s="19" t="n">
        <v>1.5</v>
      </c>
      <c r="AD22" s="27" t="n">
        <f aca="false">AB22*AC22</f>
        <v>0.018231586875</v>
      </c>
      <c r="AE22" s="17"/>
    </row>
    <row r="23" customFormat="false" ht="15" hidden="false" customHeight="false" outlineLevel="0" collapsed="false">
      <c r="A23" s="7" t="s">
        <v>411</v>
      </c>
      <c r="B23" s="12" t="s">
        <v>731</v>
      </c>
      <c r="C23" s="17" t="s">
        <v>409</v>
      </c>
      <c r="D23" s="17" t="s">
        <v>743</v>
      </c>
      <c r="E23" s="21" t="s">
        <v>107</v>
      </c>
      <c r="F23" s="21" t="s">
        <v>102</v>
      </c>
      <c r="G23" s="34" t="n">
        <v>8000</v>
      </c>
      <c r="H23" s="34" t="n">
        <v>1500</v>
      </c>
      <c r="I23" s="25" t="n">
        <v>1</v>
      </c>
      <c r="J23" s="24" t="n">
        <v>0</v>
      </c>
      <c r="K23" s="60"/>
      <c r="L23" s="25" t="n">
        <v>0</v>
      </c>
      <c r="M23" s="21"/>
      <c r="N23" s="60"/>
      <c r="O23" s="27" t="n">
        <f aca="false">0.2*$AB$8</f>
        <v>0.003016245</v>
      </c>
      <c r="P23" s="12" t="str">
        <f aca="false">IF(E23="PREMIUM",Inputs!$B$9,IF(E23="WORKHORSE",Inputs!$B$10,IF(E23="ECONOMY",Inputs!$B$11,E23)))</f>
        <v>google/gemini-3.1-flash-lite</v>
      </c>
      <c r="Q23" s="43" t="n">
        <f aca="false">IF(K23&lt;&gt;"",K23,IF(F23="",0,IFERROR(INDEX(Inputs!$B$42:$D$44,MATCH(E23,Inputs!$A$42:$A$44,0),IF(F23="low",1,IF(F23="medium",2,3))),0)))</f>
        <v>200</v>
      </c>
      <c r="R23" s="39" t="n">
        <f aca="false">IF(P23="",0,INDEX('Vendor Prices'!$G$5:$G$58,MATCH(P23,'Vendor Prices'!$A$5:$A$58,0)))</f>
        <v>0.25</v>
      </c>
      <c r="S23" s="39" t="n">
        <f aca="false">IF(P23="",0,INDEX('Vendor Prices'!$H$5:$H$58,MATCH(P23,'Vendor Prices'!$A$5:$A$58,0)))</f>
        <v>1.5</v>
      </c>
      <c r="T23" s="27" t="n">
        <f aca="false">IF(P23="",0,IF(INDEX('Vendor Prices'!$I$5:$I$58,MATCH(P23,'Vendor Prices'!$A$5:$A$58,0))=0,R23,INDEX('Vendor Prices'!$I$5:$I$58,MATCH(P23,'Vendor Prices'!$A$5:$A$58,0))))</f>
        <v>0.0625</v>
      </c>
      <c r="U23" s="61" t="n">
        <f aca="false">IF(LEFT(P23,10)="anthropic/",Inputs!$B$8,1)</f>
        <v>1</v>
      </c>
      <c r="V23" s="27" t="n">
        <f aca="false">IF(P23="",0,I23*(G23*U23*((1-J23)*R23+J23*T23)+(H23+Q23)*U23*S23)/1000000*(1+Inputs!$B$7))</f>
        <v>0.00480025</v>
      </c>
      <c r="W23" s="12" t="str">
        <f aca="false">IF(E23="PREMIUM",Inputs!$B$12,IF(E23="WORKHORSE",Inputs!$B$13,IF(E23="ECONOMY",Inputs!$B$14,"")))</f>
        <v>openai/gpt-5.6-luna</v>
      </c>
      <c r="X23" s="27" t="n">
        <f aca="false">IF(W23="",V23,I23*(G23*((1-J23)*INDEX('Vendor Prices'!$G$5:$G$58,MATCH(W23,'Vendor Prices'!$A$5:$A$58,0))+J23*INDEX('Vendor Prices'!$I$5:$I$58,MATCH(W23,'Vendor Prices'!$A$5:$A$58,0)))+(H23+Q23)*INDEX('Vendor Prices'!$H$5:$H$58,MATCH(W23,'Vendor Prices'!$A$5:$A$58,0)))/1000000*(1+Inputs!$B$7))</f>
        <v>0.0038402</v>
      </c>
      <c r="Y23" s="27" t="n">
        <f aca="false">(1-Inputs!$B$15)*V23+Inputs!$B$15*X23</f>
        <v>0.0047714485</v>
      </c>
      <c r="Z23" s="27" t="n">
        <f aca="false">L23*Inputs!$B$29</f>
        <v>0</v>
      </c>
      <c r="AA23" s="27" t="n">
        <f aca="false">IF(M23="",0,N23*INDEX('Vendor Prices'!$G$5:$G$58,MATCH(M23,'Vendor Prices'!$A$5:$A$58,0))*(1+INDEX('Vendor Prices'!$J$5:$J$58,MATCH(M23,'Vendor Prices'!$A$5:$A$58,0))*Inputs!$B$7))</f>
        <v>0</v>
      </c>
      <c r="AB23" s="62" t="n">
        <f aca="false">Y23+Z23+AA23+O23</f>
        <v>0.0077876935</v>
      </c>
      <c r="AC23" s="19" t="n">
        <v>1.5</v>
      </c>
      <c r="AD23" s="27" t="n">
        <f aca="false">AB23*AC23</f>
        <v>0.01168154025</v>
      </c>
      <c r="AE23" s="17"/>
    </row>
    <row r="24" customFormat="false" ht="15" hidden="false" customHeight="false" outlineLevel="0" collapsed="false">
      <c r="A24" s="7" t="s">
        <v>405</v>
      </c>
      <c r="B24" s="12" t="s">
        <v>744</v>
      </c>
      <c r="C24" s="17" t="s">
        <v>24</v>
      </c>
      <c r="D24" s="17" t="s">
        <v>745</v>
      </c>
      <c r="E24" s="21" t="s">
        <v>105</v>
      </c>
      <c r="F24" s="21" t="s">
        <v>103</v>
      </c>
      <c r="G24" s="34" t="n">
        <v>11000</v>
      </c>
      <c r="H24" s="34" t="n">
        <v>3500</v>
      </c>
      <c r="I24" s="25" t="n">
        <v>1.1</v>
      </c>
      <c r="J24" s="24" t="n">
        <v>0</v>
      </c>
      <c r="K24" s="60"/>
      <c r="L24" s="25" t="n">
        <v>1</v>
      </c>
      <c r="M24" s="21"/>
      <c r="N24" s="60"/>
      <c r="O24" s="60"/>
      <c r="P24" s="12" t="str">
        <f aca="false">IF(E24="PREMIUM",Inputs!$B$9,IF(E24="WORKHORSE",Inputs!$B$10,IF(E24="ECONOMY",Inputs!$B$11,E24)))</f>
        <v>anthropic/claude-opus-5.5</v>
      </c>
      <c r="Q24" s="43" t="n">
        <f aca="false">IF(K24&lt;&gt;"",K24,IF(F24="",0,IFERROR(INDEX(Inputs!$B$42:$D$44,MATCH(E24,Inputs!$A$42:$A$44,0),IF(F24="low",1,IF(F24="medium",2,3))),0)))</f>
        <v>3000</v>
      </c>
      <c r="R24" s="39" t="n">
        <f aca="false">IF(P24="",0,INDEX('Vendor Prices'!$G$5:$G$58,MATCH(P24,'Vendor Prices'!$A$5:$A$58,0)))</f>
        <v>4</v>
      </c>
      <c r="S24" s="39" t="n">
        <f aca="false">IF(P24="",0,INDEX('Vendor Prices'!$H$5:$H$58,MATCH(P24,'Vendor Prices'!$A$5:$A$58,0)))</f>
        <v>20</v>
      </c>
      <c r="T24" s="27" t="n">
        <f aca="false">IF(P24="",0,IF(INDEX('Vendor Prices'!$I$5:$I$58,MATCH(P24,'Vendor Prices'!$A$5:$A$58,0))=0,R24,INDEX('Vendor Prices'!$I$5:$I$58,MATCH(P24,'Vendor Prices'!$A$5:$A$58,0))))</f>
        <v>0.2</v>
      </c>
      <c r="U24" s="61" t="n">
        <f aca="false">IF(LEFT(P24,10)="anthropic/",Inputs!$B$8,1)</f>
        <v>1.15</v>
      </c>
      <c r="V24" s="27" t="n">
        <f aca="false">IF(P24="",0,I24*(G24*U24*((1-J24)*R24+J24*T24)+(H24+Q24)*U24*S24)/1000000*(1+Inputs!$B$7))</f>
        <v>0.23221605</v>
      </c>
      <c r="W24" s="12" t="str">
        <f aca="false">IF(E24="PREMIUM",Inputs!$B$12,IF(E24="WORKHORSE",Inputs!$B$13,IF(E24="ECONOMY",Inputs!$B$14,"")))</f>
        <v>google/gemini-3.8-flash</v>
      </c>
      <c r="X24" s="27" t="n">
        <f aca="false">IF(W24="",V24,I24*(G24*((1-J24)*INDEX('Vendor Prices'!$G$5:$G$58,MATCH(W24,'Vendor Prices'!$A$5:$A$58,0))+J24*INDEX('Vendor Prices'!$I$5:$I$58,MATCH(W24,'Vendor Prices'!$A$5:$A$58,0)))+(H24+Q24)*INDEX('Vendor Prices'!$H$5:$H$58,MATCH(W24,'Vendor Prices'!$A$5:$A$58,0)))/1000000*(1+Inputs!$B$7))</f>
        <v>0.0378613125</v>
      </c>
      <c r="Y24" s="27" t="n">
        <f aca="false">(1-Inputs!$B$15)*V24+Inputs!$B$15*X24</f>
        <v>0.226385407875</v>
      </c>
      <c r="Z24" s="27" t="n">
        <f aca="false">L24*Inputs!$B$29</f>
        <v>0.008</v>
      </c>
      <c r="AA24" s="27" t="n">
        <f aca="false">IF(M24="",0,N24*INDEX('Vendor Prices'!$G$5:$G$58,MATCH(M24,'Vendor Prices'!$A$5:$A$58,0))*(1+INDEX('Vendor Prices'!$J$5:$J$58,MATCH(M24,'Vendor Prices'!$A$5:$A$58,0))*Inputs!$B$7))</f>
        <v>0</v>
      </c>
      <c r="AB24" s="62" t="n">
        <f aca="false">Y24+Z24+AA24+O24</f>
        <v>0.234385407875</v>
      </c>
      <c r="AC24" s="19" t="n">
        <v>1.6</v>
      </c>
      <c r="AD24" s="27" t="n">
        <f aca="false">AB24*AC24</f>
        <v>0.3750166526</v>
      </c>
      <c r="AE24" s="17" t="s">
        <v>746</v>
      </c>
    </row>
    <row r="25" customFormat="false" ht="15" hidden="false" customHeight="false" outlineLevel="0" collapsed="false">
      <c r="A25" s="7" t="s">
        <v>408</v>
      </c>
      <c r="B25" s="12" t="s">
        <v>744</v>
      </c>
      <c r="C25" s="17" t="s">
        <v>747</v>
      </c>
      <c r="D25" s="17" t="s">
        <v>748</v>
      </c>
      <c r="E25" s="21" t="s">
        <v>105</v>
      </c>
      <c r="F25" s="21" t="s">
        <v>102</v>
      </c>
      <c r="G25" s="34" t="n">
        <v>6000</v>
      </c>
      <c r="H25" s="34" t="n">
        <v>1500</v>
      </c>
      <c r="I25" s="25" t="n">
        <v>1</v>
      </c>
      <c r="J25" s="24" t="n">
        <v>0</v>
      </c>
      <c r="K25" s="60"/>
      <c r="L25" s="25" t="n">
        <v>0</v>
      </c>
      <c r="M25" s="21"/>
      <c r="N25" s="60"/>
      <c r="O25" s="60"/>
      <c r="P25" s="12" t="str">
        <f aca="false">IF(E25="PREMIUM",Inputs!$B$9,IF(E25="WORKHORSE",Inputs!$B$10,IF(E25="ECONOMY",Inputs!$B$11,E25)))</f>
        <v>anthropic/claude-opus-5.5</v>
      </c>
      <c r="Q25" s="43" t="n">
        <f aca="false">IF(K25&lt;&gt;"",K25,IF(F25="",0,IFERROR(INDEX(Inputs!$B$42:$D$44,MATCH(E25,Inputs!$A$42:$A$44,0),IF(F25="low",1,IF(F25="medium",2,3))),0)))</f>
        <v>800</v>
      </c>
      <c r="R25" s="39" t="n">
        <f aca="false">IF(P25="",0,INDEX('Vendor Prices'!$G$5:$G$58,MATCH(P25,'Vendor Prices'!$A$5:$A$58,0)))</f>
        <v>4</v>
      </c>
      <c r="S25" s="39" t="n">
        <f aca="false">IF(P25="",0,INDEX('Vendor Prices'!$H$5:$H$58,MATCH(P25,'Vendor Prices'!$A$5:$A$58,0)))</f>
        <v>20</v>
      </c>
      <c r="T25" s="27" t="n">
        <f aca="false">IF(P25="",0,IF(INDEX('Vendor Prices'!$I$5:$I$58,MATCH(P25,'Vendor Prices'!$A$5:$A$58,0))=0,R25,INDEX('Vendor Prices'!$I$5:$I$58,MATCH(P25,'Vendor Prices'!$A$5:$A$58,0))))</f>
        <v>0.2</v>
      </c>
      <c r="U25" s="61" t="n">
        <f aca="false">IF(LEFT(P25,10)="anthropic/",Inputs!$B$8,1)</f>
        <v>1.15</v>
      </c>
      <c r="V25" s="27" t="n">
        <f aca="false">IF(P25="",0,I25*(G25*U25*((1-J25)*R25+J25*T25)+(H25+Q25)*U25*S25)/1000000*(1+Inputs!$B$7))</f>
        <v>0.0849275</v>
      </c>
      <c r="W25" s="12" t="str">
        <f aca="false">IF(E25="PREMIUM",Inputs!$B$12,IF(E25="WORKHORSE",Inputs!$B$13,IF(E25="ECONOMY",Inputs!$B$14,"")))</f>
        <v>google/gemini-3.8-flash</v>
      </c>
      <c r="X25" s="27" t="n">
        <f aca="false">IF(W25="",V25,I25*(G25*((1-J25)*INDEX('Vendor Prices'!$G$5:$G$58,MATCH(W25,'Vendor Prices'!$A$5:$A$58,0))+J25*INDEX('Vendor Prices'!$I$5:$I$58,MATCH(W25,'Vendor Prices'!$A$5:$A$58,0)))+(H25+Q25)*INDEX('Vendor Prices'!$H$5:$H$58,MATCH(W25,'Vendor Prices'!$A$5:$A$58,0)))/1000000*(1+Inputs!$B$7))</f>
        <v>0.013846875</v>
      </c>
      <c r="Y25" s="27" t="n">
        <f aca="false">(1-Inputs!$B$15)*V25+Inputs!$B$15*X25</f>
        <v>0.08279508125</v>
      </c>
      <c r="Z25" s="27" t="n">
        <f aca="false">L25*Inputs!$B$29</f>
        <v>0</v>
      </c>
      <c r="AA25" s="27" t="n">
        <f aca="false">IF(M25="",0,N25*INDEX('Vendor Prices'!$G$5:$G$58,MATCH(M25,'Vendor Prices'!$A$5:$A$58,0))*(1+INDEX('Vendor Prices'!$J$5:$J$58,MATCH(M25,'Vendor Prices'!$A$5:$A$58,0))*Inputs!$B$7))</f>
        <v>0</v>
      </c>
      <c r="AB25" s="62" t="n">
        <f aca="false">Y25+Z25+AA25+O25</f>
        <v>0.08279508125</v>
      </c>
      <c r="AC25" s="19" t="n">
        <v>1.5</v>
      </c>
      <c r="AD25" s="27" t="n">
        <f aca="false">AB25*AC25</f>
        <v>0.124192621875</v>
      </c>
      <c r="AE25" s="17"/>
    </row>
    <row r="26" customFormat="false" ht="15" hidden="false" customHeight="false" outlineLevel="0" collapsed="false">
      <c r="A26" s="7" t="s">
        <v>749</v>
      </c>
      <c r="B26" s="12" t="s">
        <v>744</v>
      </c>
      <c r="C26" s="17" t="s">
        <v>750</v>
      </c>
      <c r="D26" s="17" t="s">
        <v>751</v>
      </c>
      <c r="E26" s="21" t="s">
        <v>106</v>
      </c>
      <c r="F26" s="21" t="s">
        <v>103</v>
      </c>
      <c r="G26" s="34" t="n">
        <v>3000</v>
      </c>
      <c r="H26" s="34" t="n">
        <v>800</v>
      </c>
      <c r="I26" s="25" t="n">
        <v>1</v>
      </c>
      <c r="J26" s="24" t="n">
        <v>0</v>
      </c>
      <c r="K26" s="60"/>
      <c r="L26" s="25" t="n">
        <v>0</v>
      </c>
      <c r="M26" s="21"/>
      <c r="N26" s="60"/>
      <c r="O26" s="60"/>
      <c r="P26" s="12" t="str">
        <f aca="false">IF(E26="PREMIUM",Inputs!$B$9,IF(E26="WORKHORSE",Inputs!$B$10,IF(E26="ECONOMY",Inputs!$B$11,E26)))</f>
        <v>google/gemini-3.8-flash</v>
      </c>
      <c r="Q26" s="43" t="n">
        <f aca="false">IF(K26&lt;&gt;"",K26,IF(F26="",0,IFERROR(INDEX(Inputs!$B$42:$D$44,MATCH(E26,Inputs!$A$42:$A$44,0),IF(F26="low",1,IF(F26="medium",2,3))),0)))</f>
        <v>1800</v>
      </c>
      <c r="R26" s="39" t="n">
        <f aca="false">IF(P26="",0,INDEX('Vendor Prices'!$G$5:$G$58,MATCH(P26,'Vendor Prices'!$A$5:$A$58,0)))</f>
        <v>0.75</v>
      </c>
      <c r="S26" s="39" t="n">
        <f aca="false">IF(P26="",0,INDEX('Vendor Prices'!$H$5:$H$58,MATCH(P26,'Vendor Prices'!$A$5:$A$58,0)))</f>
        <v>3.75</v>
      </c>
      <c r="T26" s="27" t="n">
        <f aca="false">IF(P26="",0,IF(INDEX('Vendor Prices'!$I$5:$I$58,MATCH(P26,'Vendor Prices'!$A$5:$A$58,0))=0,R26,INDEX('Vendor Prices'!$I$5:$I$58,MATCH(P26,'Vendor Prices'!$A$5:$A$58,0))))</f>
        <v>0.1875</v>
      </c>
      <c r="U26" s="61" t="n">
        <f aca="false">IF(LEFT(P26,10)="anthropic/",Inputs!$B$8,1)</f>
        <v>1</v>
      </c>
      <c r="V26" s="27" t="n">
        <f aca="false">IF(P26="",0,I26*(G26*U26*((1-J26)*R26+J26*T26)+(H26+Q26)*U26*S26)/1000000*(1+Inputs!$B$7))</f>
        <v>0.01266</v>
      </c>
      <c r="W26" s="12" t="str">
        <f aca="false">IF(E26="PREMIUM",Inputs!$B$12,IF(E26="WORKHORSE",Inputs!$B$13,IF(E26="ECONOMY",Inputs!$B$14,"")))</f>
        <v>openai/gpt-5.6-terra</v>
      </c>
      <c r="X26" s="27" t="n">
        <f aca="false">IF(W26="",V26,I26*(G26*((1-J26)*INDEX('Vendor Prices'!$G$5:$G$58,MATCH(W26,'Vendor Prices'!$A$5:$A$58,0))+J26*INDEX('Vendor Prices'!$I$5:$I$58,MATCH(W26,'Vendor Prices'!$A$5:$A$58,0)))+(H26+Q26)*INDEX('Vendor Prices'!$H$5:$H$58,MATCH(W26,'Vendor Prices'!$A$5:$A$58,0)))/1000000*(1+Inputs!$B$7))</f>
        <v>0.039246</v>
      </c>
      <c r="Y26" s="27" t="n">
        <f aca="false">(1-Inputs!$B$15)*V26+Inputs!$B$15*X26</f>
        <v>0.01345758</v>
      </c>
      <c r="Z26" s="27" t="n">
        <f aca="false">L26*Inputs!$B$29</f>
        <v>0</v>
      </c>
      <c r="AA26" s="27" t="n">
        <f aca="false">IF(M26="",0,N26*INDEX('Vendor Prices'!$G$5:$G$58,MATCH(M26,'Vendor Prices'!$A$5:$A$58,0))*(1+INDEX('Vendor Prices'!$J$5:$J$58,MATCH(M26,'Vendor Prices'!$A$5:$A$58,0))*Inputs!$B$7))</f>
        <v>0</v>
      </c>
      <c r="AB26" s="62" t="n">
        <f aca="false">Y26+Z26+AA26+O26</f>
        <v>0.01345758</v>
      </c>
      <c r="AC26" s="19" t="n">
        <v>1.5</v>
      </c>
      <c r="AD26" s="27" t="n">
        <f aca="false">AB26*AC26</f>
        <v>0.02018637</v>
      </c>
      <c r="AE26" s="17"/>
    </row>
    <row r="27" customFormat="false" ht="15" hidden="false" customHeight="false" outlineLevel="0" collapsed="false">
      <c r="A27" s="7" t="s">
        <v>369</v>
      </c>
      <c r="B27" s="12" t="s">
        <v>248</v>
      </c>
      <c r="C27" s="17" t="s">
        <v>367</v>
      </c>
      <c r="D27" s="17" t="s">
        <v>752</v>
      </c>
      <c r="E27" s="21" t="s">
        <v>106</v>
      </c>
      <c r="F27" s="21" t="s">
        <v>103</v>
      </c>
      <c r="G27" s="34" t="n">
        <v>5000</v>
      </c>
      <c r="H27" s="34" t="n">
        <v>1600</v>
      </c>
      <c r="I27" s="25" t="n">
        <v>1.1</v>
      </c>
      <c r="J27" s="24" t="n">
        <v>0</v>
      </c>
      <c r="K27" s="60"/>
      <c r="L27" s="25" t="n">
        <v>0.1</v>
      </c>
      <c r="M27" s="21"/>
      <c r="N27" s="60"/>
      <c r="O27" s="27" t="n">
        <f aca="false">0.3*$AB$5</f>
        <v>0.001639074375</v>
      </c>
      <c r="P27" s="12" t="str">
        <f aca="false">IF(E27="PREMIUM",Inputs!$B$9,IF(E27="WORKHORSE",Inputs!$B$10,IF(E27="ECONOMY",Inputs!$B$11,E27)))</f>
        <v>google/gemini-3.8-flash</v>
      </c>
      <c r="Q27" s="43" t="n">
        <f aca="false">IF(K27&lt;&gt;"",K27,IF(F27="",0,IFERROR(INDEX(Inputs!$B$42:$D$44,MATCH(E27,Inputs!$A$42:$A$44,0),IF(F27="low",1,IF(F27="medium",2,3))),0)))</f>
        <v>1800</v>
      </c>
      <c r="R27" s="39" t="n">
        <f aca="false">IF(P27="",0,INDEX('Vendor Prices'!$G$5:$G$58,MATCH(P27,'Vendor Prices'!$A$5:$A$58,0)))</f>
        <v>0.75</v>
      </c>
      <c r="S27" s="39" t="n">
        <f aca="false">IF(P27="",0,INDEX('Vendor Prices'!$H$5:$H$58,MATCH(P27,'Vendor Prices'!$A$5:$A$58,0)))</f>
        <v>3.75</v>
      </c>
      <c r="T27" s="27" t="n">
        <f aca="false">IF(P27="",0,IF(INDEX('Vendor Prices'!$I$5:$I$58,MATCH(P27,'Vendor Prices'!$A$5:$A$58,0))=0,R27,INDEX('Vendor Prices'!$I$5:$I$58,MATCH(P27,'Vendor Prices'!$A$5:$A$58,0))))</f>
        <v>0.1875</v>
      </c>
      <c r="U27" s="61" t="n">
        <f aca="false">IF(LEFT(P27,10)="anthropic/",Inputs!$B$8,1)</f>
        <v>1</v>
      </c>
      <c r="V27" s="27" t="n">
        <f aca="false">IF(P27="",0,I27*(G27*U27*((1-J27)*R27+J27*T27)+(H27+Q27)*U27*S27)/1000000*(1+Inputs!$B$7))</f>
        <v>0.01914825</v>
      </c>
      <c r="W27" s="12" t="str">
        <f aca="false">IF(E27="PREMIUM",Inputs!$B$12,IF(E27="WORKHORSE",Inputs!$B$13,IF(E27="ECONOMY",Inputs!$B$14,"")))</f>
        <v>openai/gpt-5.6-terra</v>
      </c>
      <c r="X27" s="27" t="n">
        <f aca="false">IF(W27="",V27,I27*(G27*((1-J27)*INDEX('Vendor Prices'!$G$5:$G$58,MATCH(W27,'Vendor Prices'!$A$5:$A$58,0))+J27*INDEX('Vendor Prices'!$I$5:$I$58,MATCH(W27,'Vendor Prices'!$A$5:$A$58,0)))+(H27+Q27)*INDEX('Vendor Prices'!$H$5:$H$58,MATCH(W27,'Vendor Prices'!$A$5:$A$58,0)))/1000000*(1+Inputs!$B$7))</f>
        <v>0.0589534</v>
      </c>
      <c r="Y27" s="27" t="n">
        <f aca="false">(1-Inputs!$B$15)*V27+Inputs!$B$15*X27</f>
        <v>0.0203424045</v>
      </c>
      <c r="Z27" s="27" t="n">
        <f aca="false">L27*Inputs!$B$29</f>
        <v>0.0008</v>
      </c>
      <c r="AA27" s="27" t="n">
        <f aca="false">IF(M27="",0,N27*INDEX('Vendor Prices'!$G$5:$G$58,MATCH(M27,'Vendor Prices'!$A$5:$A$58,0))*(1+INDEX('Vendor Prices'!$J$5:$J$58,MATCH(M27,'Vendor Prices'!$A$5:$A$58,0))*Inputs!$B$7))</f>
        <v>0</v>
      </c>
      <c r="AB27" s="62" t="n">
        <f aca="false">Y27+Z27+AA27+O27</f>
        <v>0.022781478875</v>
      </c>
      <c r="AC27" s="19" t="n">
        <v>1.5</v>
      </c>
      <c r="AD27" s="27" t="n">
        <f aca="false">AB27*AC27</f>
        <v>0.0341722183125</v>
      </c>
      <c r="AE27" s="17"/>
    </row>
    <row r="28" customFormat="false" ht="15" hidden="false" customHeight="false" outlineLevel="0" collapsed="false">
      <c r="A28" s="7" t="s">
        <v>371</v>
      </c>
      <c r="B28" s="12" t="s">
        <v>248</v>
      </c>
      <c r="C28" s="17" t="s">
        <v>753</v>
      </c>
      <c r="D28" s="17" t="s">
        <v>754</v>
      </c>
      <c r="E28" s="21" t="s">
        <v>106</v>
      </c>
      <c r="F28" s="21" t="s">
        <v>103</v>
      </c>
      <c r="G28" s="34" t="n">
        <v>3750</v>
      </c>
      <c r="H28" s="34" t="n">
        <v>750</v>
      </c>
      <c r="I28" s="25" t="n">
        <v>2</v>
      </c>
      <c r="J28" s="24" t="n">
        <v>0</v>
      </c>
      <c r="K28" s="60"/>
      <c r="L28" s="25" t="n">
        <v>0</v>
      </c>
      <c r="M28" s="21"/>
      <c r="N28" s="60"/>
      <c r="O28" s="27" t="n">
        <f aca="false">$AB$16+0.3*$AB$5</f>
        <v>0.03842277295</v>
      </c>
      <c r="P28" s="12" t="str">
        <f aca="false">IF(E28="PREMIUM",Inputs!$B$9,IF(E28="WORKHORSE",Inputs!$B$10,IF(E28="ECONOMY",Inputs!$B$11,E28)))</f>
        <v>google/gemini-3.8-flash</v>
      </c>
      <c r="Q28" s="43" t="n">
        <f aca="false">IF(K28&lt;&gt;"",K28,IF(F28="",0,IFERROR(INDEX(Inputs!$B$42:$D$44,MATCH(E28,Inputs!$A$42:$A$44,0),IF(F28="low",1,IF(F28="medium",2,3))),0)))</f>
        <v>1800</v>
      </c>
      <c r="R28" s="39" t="n">
        <f aca="false">IF(P28="",0,INDEX('Vendor Prices'!$G$5:$G$58,MATCH(P28,'Vendor Prices'!$A$5:$A$58,0)))</f>
        <v>0.75</v>
      </c>
      <c r="S28" s="39" t="n">
        <f aca="false">IF(P28="",0,INDEX('Vendor Prices'!$H$5:$H$58,MATCH(P28,'Vendor Prices'!$A$5:$A$58,0)))</f>
        <v>3.75</v>
      </c>
      <c r="T28" s="27" t="n">
        <f aca="false">IF(P28="",0,IF(INDEX('Vendor Prices'!$I$5:$I$58,MATCH(P28,'Vendor Prices'!$A$5:$A$58,0))=0,R28,INDEX('Vendor Prices'!$I$5:$I$58,MATCH(P28,'Vendor Prices'!$A$5:$A$58,0))))</f>
        <v>0.1875</v>
      </c>
      <c r="U28" s="61" t="n">
        <f aca="false">IF(LEFT(P28,10)="anthropic/",Inputs!$B$8,1)</f>
        <v>1</v>
      </c>
      <c r="V28" s="27" t="n">
        <f aca="false">IF(P28="",0,I28*(G28*U28*((1-J28)*R28+J28*T28)+(H28+Q28)*U28*S28)/1000000*(1+Inputs!$B$7))</f>
        <v>0.02611125</v>
      </c>
      <c r="W28" s="12" t="str">
        <f aca="false">IF(E28="PREMIUM",Inputs!$B$12,IF(E28="WORKHORSE",Inputs!$B$13,IF(E28="ECONOMY",Inputs!$B$14,"")))</f>
        <v>openai/gpt-5.6-terra</v>
      </c>
      <c r="X28" s="27" t="n">
        <f aca="false">IF(W28="",V28,I28*(G28*((1-J28)*INDEX('Vendor Prices'!$G$5:$G$58,MATCH(W28,'Vendor Prices'!$A$5:$A$58,0))+J28*INDEX('Vendor Prices'!$I$5:$I$58,MATCH(W28,'Vendor Prices'!$A$5:$A$58,0)))+(H28+Q28)*INDEX('Vendor Prices'!$H$5:$H$58,MATCH(W28,'Vendor Prices'!$A$5:$A$58,0)))/1000000*(1+Inputs!$B$7))</f>
        <v>0.080391</v>
      </c>
      <c r="Y28" s="27" t="n">
        <f aca="false">(1-Inputs!$B$15)*V28+Inputs!$B$15*X28</f>
        <v>0.0277396425</v>
      </c>
      <c r="Z28" s="27" t="n">
        <f aca="false">L28*Inputs!$B$29</f>
        <v>0</v>
      </c>
      <c r="AA28" s="27" t="n">
        <f aca="false">IF(M28="",0,N28*INDEX('Vendor Prices'!$G$5:$G$58,MATCH(M28,'Vendor Prices'!$A$5:$A$58,0))*(1+INDEX('Vendor Prices'!$J$5:$J$58,MATCH(M28,'Vendor Prices'!$A$5:$A$58,0))*Inputs!$B$7))</f>
        <v>0</v>
      </c>
      <c r="AB28" s="62" t="n">
        <f aca="false">Y28+Z28+AA28+O28</f>
        <v>0.06616241545</v>
      </c>
      <c r="AC28" s="19" t="n">
        <v>1.8</v>
      </c>
      <c r="AD28" s="27" t="n">
        <f aca="false">AB28*AC28</f>
        <v>0.11909234781</v>
      </c>
      <c r="AE28" s="17"/>
    </row>
    <row r="29" customFormat="false" ht="15" hidden="false" customHeight="false" outlineLevel="0" collapsed="false">
      <c r="A29" s="7" t="s">
        <v>373</v>
      </c>
      <c r="B29" s="12" t="s">
        <v>248</v>
      </c>
      <c r="C29" s="17" t="s">
        <v>755</v>
      </c>
      <c r="D29" s="17" t="s">
        <v>756</v>
      </c>
      <c r="E29" s="21" t="s">
        <v>106</v>
      </c>
      <c r="F29" s="21" t="s">
        <v>103</v>
      </c>
      <c r="G29" s="34" t="n">
        <v>5000</v>
      </c>
      <c r="H29" s="34" t="n">
        <v>2200</v>
      </c>
      <c r="I29" s="25" t="n">
        <v>1.1</v>
      </c>
      <c r="J29" s="24" t="n">
        <v>0</v>
      </c>
      <c r="K29" s="60"/>
      <c r="L29" s="25" t="n">
        <v>0</v>
      </c>
      <c r="M29" s="21"/>
      <c r="N29" s="60"/>
      <c r="O29" s="27" t="n">
        <f aca="false">$AB$16</f>
        <v>0.036783698575</v>
      </c>
      <c r="P29" s="12" t="str">
        <f aca="false">IF(E29="PREMIUM",Inputs!$B$9,IF(E29="WORKHORSE",Inputs!$B$10,IF(E29="ECONOMY",Inputs!$B$11,E29)))</f>
        <v>google/gemini-3.8-flash</v>
      </c>
      <c r="Q29" s="43" t="n">
        <f aca="false">IF(K29&lt;&gt;"",K29,IF(F29="",0,IFERROR(INDEX(Inputs!$B$42:$D$44,MATCH(E29,Inputs!$A$42:$A$44,0),IF(F29="low",1,IF(F29="medium",2,3))),0)))</f>
        <v>1800</v>
      </c>
      <c r="R29" s="39" t="n">
        <f aca="false">IF(P29="",0,INDEX('Vendor Prices'!$G$5:$G$58,MATCH(P29,'Vendor Prices'!$A$5:$A$58,0)))</f>
        <v>0.75</v>
      </c>
      <c r="S29" s="39" t="n">
        <f aca="false">IF(P29="",0,INDEX('Vendor Prices'!$H$5:$H$58,MATCH(P29,'Vendor Prices'!$A$5:$A$58,0)))</f>
        <v>3.75</v>
      </c>
      <c r="T29" s="27" t="n">
        <f aca="false">IF(P29="",0,IF(INDEX('Vendor Prices'!$I$5:$I$58,MATCH(P29,'Vendor Prices'!$A$5:$A$58,0))=0,R29,INDEX('Vendor Prices'!$I$5:$I$58,MATCH(P29,'Vendor Prices'!$A$5:$A$58,0))))</f>
        <v>0.1875</v>
      </c>
      <c r="U29" s="61" t="n">
        <f aca="false">IF(LEFT(P29,10)="anthropic/",Inputs!$B$8,1)</f>
        <v>1</v>
      </c>
      <c r="V29" s="27" t="n">
        <f aca="false">IF(P29="",0,I29*(G29*U29*((1-J29)*R29+J29*T29)+(H29+Q29)*U29*S29)/1000000*(1+Inputs!$B$7))</f>
        <v>0.021759375</v>
      </c>
      <c r="W29" s="12" t="str">
        <f aca="false">IF(E29="PREMIUM",Inputs!$B$12,IF(E29="WORKHORSE",Inputs!$B$13,IF(E29="ECONOMY",Inputs!$B$14,"")))</f>
        <v>openai/gpt-5.6-terra</v>
      </c>
      <c r="X29" s="27" t="n">
        <f aca="false">IF(W29="",V29,I29*(G29*((1-J29)*INDEX('Vendor Prices'!$G$5:$G$58,MATCH(W29,'Vendor Prices'!$A$5:$A$58,0))+J29*INDEX('Vendor Prices'!$I$5:$I$58,MATCH(W29,'Vendor Prices'!$A$5:$A$58,0)))+(H29+Q29)*INDEX('Vendor Prices'!$H$5:$H$58,MATCH(W29,'Vendor Prices'!$A$5:$A$58,0)))/1000000*(1+Inputs!$B$7))</f>
        <v>0.067309</v>
      </c>
      <c r="Y29" s="27" t="n">
        <f aca="false">(1-Inputs!$B$15)*V29+Inputs!$B$15*X29</f>
        <v>0.02312586375</v>
      </c>
      <c r="Z29" s="27" t="n">
        <f aca="false">L29*Inputs!$B$29</f>
        <v>0</v>
      </c>
      <c r="AA29" s="27" t="n">
        <f aca="false">IF(M29="",0,N29*INDEX('Vendor Prices'!$G$5:$G$58,MATCH(M29,'Vendor Prices'!$A$5:$A$58,0))*(1+INDEX('Vendor Prices'!$J$5:$J$58,MATCH(M29,'Vendor Prices'!$A$5:$A$58,0))*Inputs!$B$7))</f>
        <v>0</v>
      </c>
      <c r="AB29" s="62" t="n">
        <f aca="false">Y29+Z29+AA29+O29</f>
        <v>0.059909562325</v>
      </c>
      <c r="AC29" s="19" t="n">
        <v>1.8</v>
      </c>
      <c r="AD29" s="27" t="n">
        <f aca="false">AB29*AC29</f>
        <v>0.107837212185</v>
      </c>
      <c r="AE29" s="17"/>
    </row>
    <row r="30" customFormat="false" ht="15" hidden="false" customHeight="false" outlineLevel="0" collapsed="false">
      <c r="A30" s="7" t="s">
        <v>375</v>
      </c>
      <c r="B30" s="12" t="s">
        <v>248</v>
      </c>
      <c r="C30" s="17" t="s">
        <v>757</v>
      </c>
      <c r="D30" s="17" t="s">
        <v>758</v>
      </c>
      <c r="E30" s="21" t="s">
        <v>106</v>
      </c>
      <c r="F30" s="21" t="s">
        <v>103</v>
      </c>
      <c r="G30" s="34" t="n">
        <v>5000</v>
      </c>
      <c r="H30" s="34" t="n">
        <v>1800</v>
      </c>
      <c r="I30" s="25" t="n">
        <v>1.1</v>
      </c>
      <c r="J30" s="24" t="n">
        <v>0</v>
      </c>
      <c r="K30" s="60"/>
      <c r="L30" s="25" t="n">
        <v>0</v>
      </c>
      <c r="M30" s="21"/>
      <c r="N30" s="60"/>
      <c r="O30" s="27" t="n">
        <f aca="false">$AB$16</f>
        <v>0.036783698575</v>
      </c>
      <c r="P30" s="12" t="str">
        <f aca="false">IF(E30="PREMIUM",Inputs!$B$9,IF(E30="WORKHORSE",Inputs!$B$10,IF(E30="ECONOMY",Inputs!$B$11,E30)))</f>
        <v>google/gemini-3.8-flash</v>
      </c>
      <c r="Q30" s="43" t="n">
        <f aca="false">IF(K30&lt;&gt;"",K30,IF(F30="",0,IFERROR(INDEX(Inputs!$B$42:$D$44,MATCH(E30,Inputs!$A$42:$A$44,0),IF(F30="low",1,IF(F30="medium",2,3))),0)))</f>
        <v>1800</v>
      </c>
      <c r="R30" s="39" t="n">
        <f aca="false">IF(P30="",0,INDEX('Vendor Prices'!$G$5:$G$58,MATCH(P30,'Vendor Prices'!$A$5:$A$58,0)))</f>
        <v>0.75</v>
      </c>
      <c r="S30" s="39" t="n">
        <f aca="false">IF(P30="",0,INDEX('Vendor Prices'!$H$5:$H$58,MATCH(P30,'Vendor Prices'!$A$5:$A$58,0)))</f>
        <v>3.75</v>
      </c>
      <c r="T30" s="27" t="n">
        <f aca="false">IF(P30="",0,IF(INDEX('Vendor Prices'!$I$5:$I$58,MATCH(P30,'Vendor Prices'!$A$5:$A$58,0))=0,R30,INDEX('Vendor Prices'!$I$5:$I$58,MATCH(P30,'Vendor Prices'!$A$5:$A$58,0))))</f>
        <v>0.1875</v>
      </c>
      <c r="U30" s="61" t="n">
        <f aca="false">IF(LEFT(P30,10)="anthropic/",Inputs!$B$8,1)</f>
        <v>1</v>
      </c>
      <c r="V30" s="27" t="n">
        <f aca="false">IF(P30="",0,I30*(G30*U30*((1-J30)*R30+J30*T30)+(H30+Q30)*U30*S30)/1000000*(1+Inputs!$B$7))</f>
        <v>0.020018625</v>
      </c>
      <c r="W30" s="12" t="str">
        <f aca="false">IF(E30="PREMIUM",Inputs!$B$12,IF(E30="WORKHORSE",Inputs!$B$13,IF(E30="ECONOMY",Inputs!$B$14,"")))</f>
        <v>openai/gpt-5.6-terra</v>
      </c>
      <c r="X30" s="27" t="n">
        <f aca="false">IF(W30="",V30,I30*(G30*((1-J30)*INDEX('Vendor Prices'!$G$5:$G$58,MATCH(W30,'Vendor Prices'!$A$5:$A$58,0))+J30*INDEX('Vendor Prices'!$I$5:$I$58,MATCH(W30,'Vendor Prices'!$A$5:$A$58,0)))+(H30+Q30)*INDEX('Vendor Prices'!$H$5:$H$58,MATCH(W30,'Vendor Prices'!$A$5:$A$58,0)))/1000000*(1+Inputs!$B$7))</f>
        <v>0.0617386</v>
      </c>
      <c r="Y30" s="27" t="n">
        <f aca="false">(1-Inputs!$B$15)*V30+Inputs!$B$15*X30</f>
        <v>0.02127022425</v>
      </c>
      <c r="Z30" s="27" t="n">
        <f aca="false">L30*Inputs!$B$29</f>
        <v>0</v>
      </c>
      <c r="AA30" s="27" t="n">
        <f aca="false">IF(M30="",0,N30*INDEX('Vendor Prices'!$G$5:$G$58,MATCH(M30,'Vendor Prices'!$A$5:$A$58,0))*(1+INDEX('Vendor Prices'!$J$5:$J$58,MATCH(M30,'Vendor Prices'!$A$5:$A$58,0))*Inputs!$B$7))</f>
        <v>0</v>
      </c>
      <c r="AB30" s="62" t="n">
        <f aca="false">Y30+Z30+AA30+O30</f>
        <v>0.058053922825</v>
      </c>
      <c r="AC30" s="19" t="n">
        <v>1.8</v>
      </c>
      <c r="AD30" s="27" t="n">
        <f aca="false">AB30*AC30</f>
        <v>0.104497061085</v>
      </c>
      <c r="AE30" s="17"/>
    </row>
    <row r="31" customFormat="false" ht="23.85" hidden="false" customHeight="false" outlineLevel="0" collapsed="false">
      <c r="A31" s="7" t="s">
        <v>378</v>
      </c>
      <c r="B31" s="12" t="s">
        <v>248</v>
      </c>
      <c r="C31" s="17" t="s">
        <v>376</v>
      </c>
      <c r="D31" s="17" t="s">
        <v>759</v>
      </c>
      <c r="E31" s="21" t="s">
        <v>105</v>
      </c>
      <c r="F31" s="21" t="s">
        <v>103</v>
      </c>
      <c r="G31" s="34" t="n">
        <v>5500</v>
      </c>
      <c r="H31" s="34" t="n">
        <v>3200</v>
      </c>
      <c r="I31" s="25" t="n">
        <v>1.1</v>
      </c>
      <c r="J31" s="24" t="n">
        <v>0</v>
      </c>
      <c r="K31" s="60"/>
      <c r="L31" s="25" t="n">
        <v>0.4</v>
      </c>
      <c r="M31" s="21"/>
      <c r="N31" s="60"/>
      <c r="O31" s="60"/>
      <c r="P31" s="12" t="str">
        <f aca="false">IF(E31="PREMIUM",Inputs!$B$9,IF(E31="WORKHORSE",Inputs!$B$10,IF(E31="ECONOMY",Inputs!$B$11,E31)))</f>
        <v>anthropic/claude-opus-5.5</v>
      </c>
      <c r="Q31" s="43" t="n">
        <f aca="false">IF(K31&lt;&gt;"",K31,IF(F31="",0,IFERROR(INDEX(Inputs!$B$42:$D$44,MATCH(E31,Inputs!$A$42:$A$44,0),IF(F31="low",1,IF(F31="medium",2,3))),0)))</f>
        <v>3000</v>
      </c>
      <c r="R31" s="39" t="n">
        <f aca="false">IF(P31="",0,INDEX('Vendor Prices'!$G$5:$G$58,MATCH(P31,'Vendor Prices'!$A$5:$A$58,0)))</f>
        <v>4</v>
      </c>
      <c r="S31" s="39" t="n">
        <f aca="false">IF(P31="",0,INDEX('Vendor Prices'!$H$5:$H$58,MATCH(P31,'Vendor Prices'!$A$5:$A$58,0)))</f>
        <v>20</v>
      </c>
      <c r="T31" s="27" t="n">
        <f aca="false">IF(P31="",0,IF(INDEX('Vendor Prices'!$I$5:$I$58,MATCH(P31,'Vendor Prices'!$A$5:$A$58,0))=0,R31,INDEX('Vendor Prices'!$I$5:$I$58,MATCH(P31,'Vendor Prices'!$A$5:$A$58,0))))</f>
        <v>0.2</v>
      </c>
      <c r="U31" s="61" t="n">
        <f aca="false">IF(LEFT(P31,10)="anthropic/",Inputs!$B$8,1)</f>
        <v>1.15</v>
      </c>
      <c r="V31" s="27" t="n">
        <f aca="false">IF(P31="",0,I31*(G31*U31*((1-J31)*R31+J31*T31)+(H31+Q31)*U31*S31)/1000000*(1+Inputs!$B$7))</f>
        <v>0.19484795</v>
      </c>
      <c r="W31" s="12" t="str">
        <f aca="false">IF(E31="PREMIUM",Inputs!$B$12,IF(E31="WORKHORSE",Inputs!$B$13,IF(E31="ECONOMY",Inputs!$B$14,"")))</f>
        <v>google/gemini-3.8-flash</v>
      </c>
      <c r="X31" s="27" t="n">
        <f aca="false">IF(W31="",V31,I31*(G31*((1-J31)*INDEX('Vendor Prices'!$G$5:$G$58,MATCH(W31,'Vendor Prices'!$A$5:$A$58,0))+J31*INDEX('Vendor Prices'!$I$5:$I$58,MATCH(W31,'Vendor Prices'!$A$5:$A$58,0)))+(H31+Q31)*INDEX('Vendor Prices'!$H$5:$H$58,MATCH(W31,'Vendor Prices'!$A$5:$A$58,0)))/1000000*(1+Inputs!$B$7))</f>
        <v>0.0317686875</v>
      </c>
      <c r="Y31" s="27" t="n">
        <f aca="false">(1-Inputs!$B$15)*V31+Inputs!$B$15*X31</f>
        <v>0.189955572125</v>
      </c>
      <c r="Z31" s="27" t="n">
        <f aca="false">L31*Inputs!$B$29</f>
        <v>0.0032</v>
      </c>
      <c r="AA31" s="27" t="n">
        <f aca="false">IF(M31="",0,N31*INDEX('Vendor Prices'!$G$5:$G$58,MATCH(M31,'Vendor Prices'!$A$5:$A$58,0))*(1+INDEX('Vendor Prices'!$J$5:$J$58,MATCH(M31,'Vendor Prices'!$A$5:$A$58,0))*Inputs!$B$7))</f>
        <v>0</v>
      </c>
      <c r="AB31" s="62" t="n">
        <f aca="false">Y31+Z31+AA31+O31</f>
        <v>0.193155572125</v>
      </c>
      <c r="AC31" s="19" t="n">
        <v>1.6</v>
      </c>
      <c r="AD31" s="27" t="n">
        <f aca="false">AB31*AC31</f>
        <v>0.3090489154</v>
      </c>
      <c r="AE31" s="17"/>
    </row>
    <row r="32" customFormat="false" ht="15" hidden="false" customHeight="false" outlineLevel="0" collapsed="false">
      <c r="A32" s="7" t="s">
        <v>380</v>
      </c>
      <c r="B32" s="12" t="s">
        <v>248</v>
      </c>
      <c r="C32" s="17" t="s">
        <v>379</v>
      </c>
      <c r="D32" s="17" t="s">
        <v>759</v>
      </c>
      <c r="E32" s="21" t="s">
        <v>105</v>
      </c>
      <c r="F32" s="21" t="s">
        <v>103</v>
      </c>
      <c r="G32" s="34" t="n">
        <v>6000</v>
      </c>
      <c r="H32" s="34" t="n">
        <v>6000</v>
      </c>
      <c r="I32" s="25" t="n">
        <v>1.1</v>
      </c>
      <c r="J32" s="24" t="n">
        <v>0</v>
      </c>
      <c r="K32" s="60"/>
      <c r="L32" s="25" t="n">
        <v>1</v>
      </c>
      <c r="M32" s="21"/>
      <c r="N32" s="60"/>
      <c r="O32" s="60"/>
      <c r="P32" s="12" t="str">
        <f aca="false">IF(E32="PREMIUM",Inputs!$B$9,IF(E32="WORKHORSE",Inputs!$B$10,IF(E32="ECONOMY",Inputs!$B$11,E32)))</f>
        <v>anthropic/claude-opus-5.5</v>
      </c>
      <c r="Q32" s="43" t="n">
        <f aca="false">IF(K32&lt;&gt;"",K32,IF(F32="",0,IFERROR(INDEX(Inputs!$B$42:$D$44,MATCH(E32,Inputs!$A$42:$A$44,0),IF(F32="low",1,IF(F32="medium",2,3))),0)))</f>
        <v>3000</v>
      </c>
      <c r="R32" s="39" t="n">
        <f aca="false">IF(P32="",0,INDEX('Vendor Prices'!$G$5:$G$58,MATCH(P32,'Vendor Prices'!$A$5:$A$58,0)))</f>
        <v>4</v>
      </c>
      <c r="S32" s="39" t="n">
        <f aca="false">IF(P32="",0,INDEX('Vendor Prices'!$H$5:$H$58,MATCH(P32,'Vendor Prices'!$A$5:$A$58,0)))</f>
        <v>20</v>
      </c>
      <c r="T32" s="27" t="n">
        <f aca="false">IF(P32="",0,IF(INDEX('Vendor Prices'!$I$5:$I$58,MATCH(P32,'Vendor Prices'!$A$5:$A$58,0))=0,R32,INDEX('Vendor Prices'!$I$5:$I$58,MATCH(P32,'Vendor Prices'!$A$5:$A$58,0))))</f>
        <v>0.2</v>
      </c>
      <c r="U32" s="61" t="n">
        <f aca="false">IF(LEFT(P32,10)="anthropic/",Inputs!$B$8,1)</f>
        <v>1.15</v>
      </c>
      <c r="V32" s="27" t="n">
        <f aca="false">IF(P32="",0,I32*(G32*U32*((1-J32)*R32+J32*T32)+(H32+Q32)*U32*S32)/1000000*(1+Inputs!$B$7))</f>
        <v>0.2722533</v>
      </c>
      <c r="W32" s="12" t="str">
        <f aca="false">IF(E32="PREMIUM",Inputs!$B$12,IF(E32="WORKHORSE",Inputs!$B$13,IF(E32="ECONOMY",Inputs!$B$14,"")))</f>
        <v>google/gemini-3.8-flash</v>
      </c>
      <c r="X32" s="27" t="n">
        <f aca="false">IF(W32="",V32,I32*(G32*((1-J32)*INDEX('Vendor Prices'!$G$5:$G$58,MATCH(W32,'Vendor Prices'!$A$5:$A$58,0))+J32*INDEX('Vendor Prices'!$I$5:$I$58,MATCH(W32,'Vendor Prices'!$A$5:$A$58,0)))+(H32+Q32)*INDEX('Vendor Prices'!$H$5:$H$58,MATCH(W32,'Vendor Prices'!$A$5:$A$58,0)))/1000000*(1+Inputs!$B$7))</f>
        <v>0.044389125</v>
      </c>
      <c r="Y32" s="27" t="n">
        <f aca="false">(1-Inputs!$B$15)*V32+Inputs!$B$15*X32</f>
        <v>0.26541737475</v>
      </c>
      <c r="Z32" s="27" t="n">
        <f aca="false">L32*Inputs!$B$29</f>
        <v>0.008</v>
      </c>
      <c r="AA32" s="27" t="n">
        <f aca="false">IF(M32="",0,N32*INDEX('Vendor Prices'!$G$5:$G$58,MATCH(M32,'Vendor Prices'!$A$5:$A$58,0))*(1+INDEX('Vendor Prices'!$J$5:$J$58,MATCH(M32,'Vendor Prices'!$A$5:$A$58,0))*Inputs!$B$7))</f>
        <v>0</v>
      </c>
      <c r="AB32" s="62" t="n">
        <f aca="false">Y32+Z32+AA32+O32</f>
        <v>0.27341737475</v>
      </c>
      <c r="AC32" s="19" t="n">
        <v>1.4</v>
      </c>
      <c r="AD32" s="27" t="n">
        <f aca="false">AB32*AC32</f>
        <v>0.38278432465</v>
      </c>
      <c r="AE32" s="17"/>
    </row>
    <row r="33" customFormat="false" ht="23.85" hidden="false" customHeight="false" outlineLevel="0" collapsed="false">
      <c r="A33" s="7" t="s">
        <v>382</v>
      </c>
      <c r="B33" s="12" t="s">
        <v>248</v>
      </c>
      <c r="C33" s="17" t="s">
        <v>760</v>
      </c>
      <c r="D33" s="17" t="s">
        <v>761</v>
      </c>
      <c r="E33" s="21" t="s">
        <v>106</v>
      </c>
      <c r="F33" s="21" t="s">
        <v>103</v>
      </c>
      <c r="G33" s="34" t="n">
        <v>5500</v>
      </c>
      <c r="H33" s="34" t="n">
        <v>3200</v>
      </c>
      <c r="I33" s="25" t="n">
        <v>1.1</v>
      </c>
      <c r="J33" s="24" t="n">
        <v>0</v>
      </c>
      <c r="K33" s="60"/>
      <c r="L33" s="25" t="n">
        <v>0.4</v>
      </c>
      <c r="M33" s="21"/>
      <c r="N33" s="60"/>
      <c r="O33" s="60"/>
      <c r="P33" s="12" t="str">
        <f aca="false">IF(E33="PREMIUM",Inputs!$B$9,IF(E33="WORKHORSE",Inputs!$B$10,IF(E33="ECONOMY",Inputs!$B$11,E33)))</f>
        <v>google/gemini-3.8-flash</v>
      </c>
      <c r="Q33" s="43" t="n">
        <f aca="false">IF(K33&lt;&gt;"",K33,IF(F33="",0,IFERROR(INDEX(Inputs!$B$42:$D$44,MATCH(E33,Inputs!$A$42:$A$44,0),IF(F33="low",1,IF(F33="medium",2,3))),0)))</f>
        <v>1800</v>
      </c>
      <c r="R33" s="39" t="n">
        <f aca="false">IF(P33="",0,INDEX('Vendor Prices'!$G$5:$G$58,MATCH(P33,'Vendor Prices'!$A$5:$A$58,0)))</f>
        <v>0.75</v>
      </c>
      <c r="S33" s="39" t="n">
        <f aca="false">IF(P33="",0,INDEX('Vendor Prices'!$H$5:$H$58,MATCH(P33,'Vendor Prices'!$A$5:$A$58,0)))</f>
        <v>3.75</v>
      </c>
      <c r="T33" s="27" t="n">
        <f aca="false">IF(P33="",0,IF(INDEX('Vendor Prices'!$I$5:$I$58,MATCH(P33,'Vendor Prices'!$A$5:$A$58,0))=0,R33,INDEX('Vendor Prices'!$I$5:$I$58,MATCH(P33,'Vendor Prices'!$A$5:$A$58,0))))</f>
        <v>0.1875</v>
      </c>
      <c r="U33" s="61" t="n">
        <f aca="false">IF(LEFT(P33,10)="anthropic/",Inputs!$B$8,1)</f>
        <v>1</v>
      </c>
      <c r="V33" s="27" t="n">
        <f aca="false">IF(P33="",0,I33*(G33*U33*((1-J33)*R33+J33*T33)+(H33+Q33)*U33*S33)/1000000*(1+Inputs!$B$7))</f>
        <v>0.0265464375</v>
      </c>
      <c r="W33" s="12" t="str">
        <f aca="false">IF(E33="PREMIUM",Inputs!$B$12,IF(E33="WORKHORSE",Inputs!$B$13,IF(E33="ECONOMY",Inputs!$B$14,"")))</f>
        <v>openai/gpt-5.6-terra</v>
      </c>
      <c r="X33" s="27" t="n">
        <f aca="false">IF(W33="",V33,I33*(G33*((1-J33)*INDEX('Vendor Prices'!$G$5:$G$58,MATCH(W33,'Vendor Prices'!$A$5:$A$58,0))+J33*INDEX('Vendor Prices'!$I$5:$I$58,MATCH(W33,'Vendor Prices'!$A$5:$A$58,0)))+(H33+Q33)*INDEX('Vendor Prices'!$H$5:$H$58,MATCH(W33,'Vendor Prices'!$A$5:$A$58,0)))/1000000*(1+Inputs!$B$7))</f>
        <v>0.0823955</v>
      </c>
      <c r="Y33" s="27" t="n">
        <f aca="false">(1-Inputs!$B$15)*V33+Inputs!$B$15*X33</f>
        <v>0.028221909375</v>
      </c>
      <c r="Z33" s="27" t="n">
        <f aca="false">L33*Inputs!$B$29</f>
        <v>0.0032</v>
      </c>
      <c r="AA33" s="27" t="n">
        <f aca="false">IF(M33="",0,N33*INDEX('Vendor Prices'!$G$5:$G$58,MATCH(M33,'Vendor Prices'!$A$5:$A$58,0))*(1+INDEX('Vendor Prices'!$J$5:$J$58,MATCH(M33,'Vendor Prices'!$A$5:$A$58,0))*Inputs!$B$7))</f>
        <v>0</v>
      </c>
      <c r="AB33" s="62" t="n">
        <f aca="false">Y33+Z33+AA33+O33</f>
        <v>0.031421909375</v>
      </c>
      <c r="AC33" s="19" t="n">
        <v>1.5</v>
      </c>
      <c r="AD33" s="27" t="n">
        <f aca="false">AB33*AC33</f>
        <v>0.0471328640625</v>
      </c>
      <c r="AE33" s="17" t="s">
        <v>762</v>
      </c>
    </row>
    <row r="34" customFormat="false" ht="15" hidden="false" customHeight="false" outlineLevel="0" collapsed="false">
      <c r="A34" s="7" t="s">
        <v>386</v>
      </c>
      <c r="B34" s="12" t="s">
        <v>248</v>
      </c>
      <c r="C34" s="17" t="s">
        <v>384</v>
      </c>
      <c r="D34" s="17" t="s">
        <v>763</v>
      </c>
      <c r="E34" s="21" t="s">
        <v>106</v>
      </c>
      <c r="F34" s="21" t="s">
        <v>103</v>
      </c>
      <c r="G34" s="34" t="n">
        <v>4500</v>
      </c>
      <c r="H34" s="34" t="n">
        <v>1800</v>
      </c>
      <c r="I34" s="25" t="n">
        <v>1.1</v>
      </c>
      <c r="J34" s="24" t="n">
        <v>0</v>
      </c>
      <c r="K34" s="60"/>
      <c r="L34" s="25" t="n">
        <v>0</v>
      </c>
      <c r="M34" s="21"/>
      <c r="N34" s="60"/>
      <c r="O34" s="60"/>
      <c r="P34" s="12" t="str">
        <f aca="false">IF(E34="PREMIUM",Inputs!$B$9,IF(E34="WORKHORSE",Inputs!$B$10,IF(E34="ECONOMY",Inputs!$B$11,E34)))</f>
        <v>google/gemini-3.8-flash</v>
      </c>
      <c r="Q34" s="43" t="n">
        <f aca="false">IF(K34&lt;&gt;"",K34,IF(F34="",0,IFERROR(INDEX(Inputs!$B$42:$D$44,MATCH(E34,Inputs!$A$42:$A$44,0),IF(F34="low",1,IF(F34="medium",2,3))),0)))</f>
        <v>1800</v>
      </c>
      <c r="R34" s="39" t="n">
        <f aca="false">IF(P34="",0,INDEX('Vendor Prices'!$G$5:$G$58,MATCH(P34,'Vendor Prices'!$A$5:$A$58,0)))</f>
        <v>0.75</v>
      </c>
      <c r="S34" s="39" t="n">
        <f aca="false">IF(P34="",0,INDEX('Vendor Prices'!$H$5:$H$58,MATCH(P34,'Vendor Prices'!$A$5:$A$58,0)))</f>
        <v>3.75</v>
      </c>
      <c r="T34" s="27" t="n">
        <f aca="false">IF(P34="",0,IF(INDEX('Vendor Prices'!$I$5:$I$58,MATCH(P34,'Vendor Prices'!$A$5:$A$58,0))=0,R34,INDEX('Vendor Prices'!$I$5:$I$58,MATCH(P34,'Vendor Prices'!$A$5:$A$58,0))))</f>
        <v>0.1875</v>
      </c>
      <c r="U34" s="61" t="n">
        <f aca="false">IF(LEFT(P34,10)="anthropic/",Inputs!$B$8,1)</f>
        <v>1</v>
      </c>
      <c r="V34" s="27" t="n">
        <f aca="false">IF(P34="",0,I34*(G34*U34*((1-J34)*R34+J34*T34)+(H34+Q34)*U34*S34)/1000000*(1+Inputs!$B$7))</f>
        <v>0.0195834375</v>
      </c>
      <c r="W34" s="12" t="str">
        <f aca="false">IF(E34="PREMIUM",Inputs!$B$12,IF(E34="WORKHORSE",Inputs!$B$13,IF(E34="ECONOMY",Inputs!$B$14,"")))</f>
        <v>openai/gpt-5.6-terra</v>
      </c>
      <c r="X34" s="27" t="n">
        <f aca="false">IF(W34="",V34,I34*(G34*((1-J34)*INDEX('Vendor Prices'!$G$5:$G$58,MATCH(W34,'Vendor Prices'!$A$5:$A$58,0))+J34*INDEX('Vendor Prices'!$I$5:$I$58,MATCH(W34,'Vendor Prices'!$A$5:$A$58,0)))+(H34+Q34)*INDEX('Vendor Prices'!$H$5:$H$58,MATCH(W34,'Vendor Prices'!$A$5:$A$58,0)))/1000000*(1+Inputs!$B$7))</f>
        <v>0.0605781</v>
      </c>
      <c r="Y34" s="27" t="n">
        <f aca="false">(1-Inputs!$B$15)*V34+Inputs!$B$15*X34</f>
        <v>0.020813277375</v>
      </c>
      <c r="Z34" s="27" t="n">
        <f aca="false">L34*Inputs!$B$29</f>
        <v>0</v>
      </c>
      <c r="AA34" s="27" t="n">
        <f aca="false">IF(M34="",0,N34*INDEX('Vendor Prices'!$G$5:$G$58,MATCH(M34,'Vendor Prices'!$A$5:$A$58,0))*(1+INDEX('Vendor Prices'!$J$5:$J$58,MATCH(M34,'Vendor Prices'!$A$5:$A$58,0))*Inputs!$B$7))</f>
        <v>0</v>
      </c>
      <c r="AB34" s="62" t="n">
        <f aca="false">Y34+Z34+AA34+O34</f>
        <v>0.020813277375</v>
      </c>
      <c r="AC34" s="19" t="n">
        <v>1.5</v>
      </c>
      <c r="AD34" s="27" t="n">
        <f aca="false">AB34*AC34</f>
        <v>0.0312199160625</v>
      </c>
      <c r="AE34" s="17"/>
    </row>
    <row r="35" customFormat="false" ht="15" hidden="false" customHeight="false" outlineLevel="0" collapsed="false">
      <c r="A35" s="7" t="s">
        <v>389</v>
      </c>
      <c r="B35" s="12" t="s">
        <v>248</v>
      </c>
      <c r="C35" s="17" t="s">
        <v>387</v>
      </c>
      <c r="D35" s="17" t="s">
        <v>764</v>
      </c>
      <c r="E35" s="21" t="s">
        <v>106</v>
      </c>
      <c r="F35" s="21" t="s">
        <v>102</v>
      </c>
      <c r="G35" s="34" t="n">
        <v>4500</v>
      </c>
      <c r="H35" s="34" t="n">
        <v>2000</v>
      </c>
      <c r="I35" s="25" t="n">
        <v>1</v>
      </c>
      <c r="J35" s="24" t="n">
        <v>0</v>
      </c>
      <c r="K35" s="60"/>
      <c r="L35" s="25" t="n">
        <v>0</v>
      </c>
      <c r="M35" s="21"/>
      <c r="N35" s="60"/>
      <c r="O35" s="60"/>
      <c r="P35" s="12" t="str">
        <f aca="false">IF(E35="PREMIUM",Inputs!$B$9,IF(E35="WORKHORSE",Inputs!$B$10,IF(E35="ECONOMY",Inputs!$B$11,E35)))</f>
        <v>google/gemini-3.8-flash</v>
      </c>
      <c r="Q35" s="43" t="n">
        <f aca="false">IF(K35&lt;&gt;"",K35,IF(F35="",0,IFERROR(INDEX(Inputs!$B$42:$D$44,MATCH(E35,Inputs!$A$42:$A$44,0),IF(F35="low",1,IF(F35="medium",2,3))),0)))</f>
        <v>500</v>
      </c>
      <c r="R35" s="39" t="n">
        <f aca="false">IF(P35="",0,INDEX('Vendor Prices'!$G$5:$G$58,MATCH(P35,'Vendor Prices'!$A$5:$A$58,0)))</f>
        <v>0.75</v>
      </c>
      <c r="S35" s="39" t="n">
        <f aca="false">IF(P35="",0,INDEX('Vendor Prices'!$H$5:$H$58,MATCH(P35,'Vendor Prices'!$A$5:$A$58,0)))</f>
        <v>3.75</v>
      </c>
      <c r="T35" s="27" t="n">
        <f aca="false">IF(P35="",0,IF(INDEX('Vendor Prices'!$I$5:$I$58,MATCH(P35,'Vendor Prices'!$A$5:$A$58,0))=0,R35,INDEX('Vendor Prices'!$I$5:$I$58,MATCH(P35,'Vendor Prices'!$A$5:$A$58,0))))</f>
        <v>0.1875</v>
      </c>
      <c r="U35" s="61" t="n">
        <f aca="false">IF(LEFT(P35,10)="anthropic/",Inputs!$B$8,1)</f>
        <v>1</v>
      </c>
      <c r="V35" s="27" t="n">
        <f aca="false">IF(P35="",0,I35*(G35*U35*((1-J35)*R35+J35*T35)+(H35+Q35)*U35*S35)/1000000*(1+Inputs!$B$7))</f>
        <v>0.01345125</v>
      </c>
      <c r="W35" s="12" t="str">
        <f aca="false">IF(E35="PREMIUM",Inputs!$B$12,IF(E35="WORKHORSE",Inputs!$B$13,IF(E35="ECONOMY",Inputs!$B$14,"")))</f>
        <v>openai/gpt-5.6-terra</v>
      </c>
      <c r="X35" s="27" t="n">
        <f aca="false">IF(W35="",V35,I35*(G35*((1-J35)*INDEX('Vendor Prices'!$G$5:$G$58,MATCH(W35,'Vendor Prices'!$A$5:$A$58,0))+J35*INDEX('Vendor Prices'!$I$5:$I$58,MATCH(W35,'Vendor Prices'!$A$5:$A$58,0)))+(H35+Q35)*INDEX('Vendor Prices'!$H$5:$H$58,MATCH(W35,'Vendor Prices'!$A$5:$A$58,0)))/1000000*(1+Inputs!$B$7))</f>
        <v>0.041145</v>
      </c>
      <c r="Y35" s="27" t="n">
        <f aca="false">(1-Inputs!$B$15)*V35+Inputs!$B$15*X35</f>
        <v>0.0142820625</v>
      </c>
      <c r="Z35" s="27" t="n">
        <f aca="false">L35*Inputs!$B$29</f>
        <v>0</v>
      </c>
      <c r="AA35" s="27" t="n">
        <f aca="false">IF(M35="",0,N35*INDEX('Vendor Prices'!$G$5:$G$58,MATCH(M35,'Vendor Prices'!$A$5:$A$58,0))*(1+INDEX('Vendor Prices'!$J$5:$J$58,MATCH(M35,'Vendor Prices'!$A$5:$A$58,0))*Inputs!$B$7))</f>
        <v>0</v>
      </c>
      <c r="AB35" s="62" t="n">
        <f aca="false">Y35+Z35+AA35+O35</f>
        <v>0.0142820625</v>
      </c>
      <c r="AC35" s="19" t="n">
        <v>1.5</v>
      </c>
      <c r="AD35" s="27" t="n">
        <f aca="false">AB35*AC35</f>
        <v>0.02142309375</v>
      </c>
      <c r="AE35" s="17"/>
    </row>
    <row r="36" customFormat="false" ht="15" hidden="false" customHeight="false" outlineLevel="0" collapsed="false">
      <c r="A36" s="7" t="s">
        <v>391</v>
      </c>
      <c r="B36" s="12" t="s">
        <v>248</v>
      </c>
      <c r="C36" s="17" t="s">
        <v>390</v>
      </c>
      <c r="D36" s="17" t="s">
        <v>765</v>
      </c>
      <c r="E36" s="21" t="s">
        <v>106</v>
      </c>
      <c r="F36" s="21" t="s">
        <v>103</v>
      </c>
      <c r="G36" s="34" t="n">
        <v>3500</v>
      </c>
      <c r="H36" s="34" t="n">
        <v>2000</v>
      </c>
      <c r="I36" s="25" t="n">
        <v>1</v>
      </c>
      <c r="J36" s="24" t="n">
        <v>0</v>
      </c>
      <c r="K36" s="60"/>
      <c r="L36" s="25" t="n">
        <v>0</v>
      </c>
      <c r="M36" s="21"/>
      <c r="N36" s="60"/>
      <c r="O36" s="60"/>
      <c r="P36" s="12" t="str">
        <f aca="false">IF(E36="PREMIUM",Inputs!$B$9,IF(E36="WORKHORSE",Inputs!$B$10,IF(E36="ECONOMY",Inputs!$B$11,E36)))</f>
        <v>google/gemini-3.8-flash</v>
      </c>
      <c r="Q36" s="43" t="n">
        <f aca="false">IF(K36&lt;&gt;"",K36,IF(F36="",0,IFERROR(INDEX(Inputs!$B$42:$D$44,MATCH(E36,Inputs!$A$42:$A$44,0),IF(F36="low",1,IF(F36="medium",2,3))),0)))</f>
        <v>1800</v>
      </c>
      <c r="R36" s="39" t="n">
        <f aca="false">IF(P36="",0,INDEX('Vendor Prices'!$G$5:$G$58,MATCH(P36,'Vendor Prices'!$A$5:$A$58,0)))</f>
        <v>0.75</v>
      </c>
      <c r="S36" s="39" t="n">
        <f aca="false">IF(P36="",0,INDEX('Vendor Prices'!$H$5:$H$58,MATCH(P36,'Vendor Prices'!$A$5:$A$58,0)))</f>
        <v>3.75</v>
      </c>
      <c r="T36" s="27" t="n">
        <f aca="false">IF(P36="",0,IF(INDEX('Vendor Prices'!$I$5:$I$58,MATCH(P36,'Vendor Prices'!$A$5:$A$58,0))=0,R36,INDEX('Vendor Prices'!$I$5:$I$58,MATCH(P36,'Vendor Prices'!$A$5:$A$58,0))))</f>
        <v>0.1875</v>
      </c>
      <c r="U36" s="61" t="n">
        <f aca="false">IF(LEFT(P36,10)="anthropic/",Inputs!$B$8,1)</f>
        <v>1</v>
      </c>
      <c r="V36" s="27" t="n">
        <f aca="false">IF(P36="",0,I36*(G36*U36*((1-J36)*R36+J36*T36)+(H36+Q36)*U36*S36)/1000000*(1+Inputs!$B$7))</f>
        <v>0.017803125</v>
      </c>
      <c r="W36" s="12" t="str">
        <f aca="false">IF(E36="PREMIUM",Inputs!$B$12,IF(E36="WORKHORSE",Inputs!$B$13,IF(E36="ECONOMY",Inputs!$B$14,"")))</f>
        <v>openai/gpt-5.6-terra</v>
      </c>
      <c r="X36" s="27" t="n">
        <f aca="false">IF(W36="",V36,I36*(G36*((1-J36)*INDEX('Vendor Prices'!$G$5:$G$58,MATCH(W36,'Vendor Prices'!$A$5:$A$58,0))+J36*INDEX('Vendor Prices'!$I$5:$I$58,MATCH(W36,'Vendor Prices'!$A$5:$A$58,0)))+(H36+Q36)*INDEX('Vendor Prices'!$H$5:$H$58,MATCH(W36,'Vendor Prices'!$A$5:$A$58,0)))/1000000*(1+Inputs!$B$7))</f>
        <v>0.055493</v>
      </c>
      <c r="Y36" s="27" t="n">
        <f aca="false">(1-Inputs!$B$15)*V36+Inputs!$B$15*X36</f>
        <v>0.01893382125</v>
      </c>
      <c r="Z36" s="27" t="n">
        <f aca="false">L36*Inputs!$B$29</f>
        <v>0</v>
      </c>
      <c r="AA36" s="27" t="n">
        <f aca="false">IF(M36="",0,N36*INDEX('Vendor Prices'!$G$5:$G$58,MATCH(M36,'Vendor Prices'!$A$5:$A$58,0))*(1+INDEX('Vendor Prices'!$J$5:$J$58,MATCH(M36,'Vendor Prices'!$A$5:$A$58,0))*Inputs!$B$7))</f>
        <v>0</v>
      </c>
      <c r="AB36" s="62" t="n">
        <f aca="false">Y36+Z36+AA36+O36</f>
        <v>0.01893382125</v>
      </c>
      <c r="AC36" s="19" t="n">
        <v>1.5</v>
      </c>
      <c r="AD36" s="27" t="n">
        <f aca="false">AB36*AC36</f>
        <v>0.028400731875</v>
      </c>
      <c r="AE36" s="17"/>
    </row>
    <row r="37" customFormat="false" ht="15" hidden="false" customHeight="false" outlineLevel="0" collapsed="false">
      <c r="A37" s="7" t="s">
        <v>402</v>
      </c>
      <c r="B37" s="12" t="s">
        <v>248</v>
      </c>
      <c r="C37" s="17" t="s">
        <v>400</v>
      </c>
      <c r="D37" s="17" t="s">
        <v>766</v>
      </c>
      <c r="E37" s="21" t="s">
        <v>105</v>
      </c>
      <c r="F37" s="21" t="s">
        <v>102</v>
      </c>
      <c r="G37" s="34" t="n">
        <v>6000</v>
      </c>
      <c r="H37" s="34" t="n">
        <v>2500</v>
      </c>
      <c r="I37" s="25" t="n">
        <v>1</v>
      </c>
      <c r="J37" s="24" t="n">
        <v>0</v>
      </c>
      <c r="K37" s="60"/>
      <c r="L37" s="25" t="n">
        <v>0</v>
      </c>
      <c r="M37" s="21"/>
      <c r="N37" s="60"/>
      <c r="O37" s="60"/>
      <c r="P37" s="12" t="str">
        <f aca="false">IF(E37="PREMIUM",Inputs!$B$9,IF(E37="WORKHORSE",Inputs!$B$10,IF(E37="ECONOMY",Inputs!$B$11,E37)))</f>
        <v>anthropic/claude-opus-5.5</v>
      </c>
      <c r="Q37" s="43" t="n">
        <f aca="false">IF(K37&lt;&gt;"",K37,IF(F37="",0,IFERROR(INDEX(Inputs!$B$42:$D$44,MATCH(E37,Inputs!$A$42:$A$44,0),IF(F37="low",1,IF(F37="medium",2,3))),0)))</f>
        <v>800</v>
      </c>
      <c r="R37" s="39" t="n">
        <f aca="false">IF(P37="",0,INDEX('Vendor Prices'!$G$5:$G$58,MATCH(P37,'Vendor Prices'!$A$5:$A$58,0)))</f>
        <v>4</v>
      </c>
      <c r="S37" s="39" t="n">
        <f aca="false">IF(P37="",0,INDEX('Vendor Prices'!$H$5:$H$58,MATCH(P37,'Vendor Prices'!$A$5:$A$58,0)))</f>
        <v>20</v>
      </c>
      <c r="T37" s="27" t="n">
        <f aca="false">IF(P37="",0,IF(INDEX('Vendor Prices'!$I$5:$I$58,MATCH(P37,'Vendor Prices'!$A$5:$A$58,0))=0,R37,INDEX('Vendor Prices'!$I$5:$I$58,MATCH(P37,'Vendor Prices'!$A$5:$A$58,0))))</f>
        <v>0.2</v>
      </c>
      <c r="U37" s="61" t="n">
        <f aca="false">IF(LEFT(P37,10)="anthropic/",Inputs!$B$8,1)</f>
        <v>1.15</v>
      </c>
      <c r="V37" s="27" t="n">
        <f aca="false">IF(P37="",0,I37*(G37*U37*((1-J37)*R37+J37*T37)+(H37+Q37)*U37*S37)/1000000*(1+Inputs!$B$7))</f>
        <v>0.1091925</v>
      </c>
      <c r="W37" s="12" t="str">
        <f aca="false">IF(E37="PREMIUM",Inputs!$B$12,IF(E37="WORKHORSE",Inputs!$B$13,IF(E37="ECONOMY",Inputs!$B$14,"")))</f>
        <v>google/gemini-3.8-flash</v>
      </c>
      <c r="X37" s="27" t="n">
        <f aca="false">IF(W37="",V37,I37*(G37*((1-J37)*INDEX('Vendor Prices'!$G$5:$G$58,MATCH(W37,'Vendor Prices'!$A$5:$A$58,0))+J37*INDEX('Vendor Prices'!$I$5:$I$58,MATCH(W37,'Vendor Prices'!$A$5:$A$58,0)))+(H37+Q37)*INDEX('Vendor Prices'!$H$5:$H$58,MATCH(W37,'Vendor Prices'!$A$5:$A$58,0)))/1000000*(1+Inputs!$B$7))</f>
        <v>0.017803125</v>
      </c>
      <c r="Y37" s="27" t="n">
        <f aca="false">(1-Inputs!$B$15)*V37+Inputs!$B$15*X37</f>
        <v>0.10645081875</v>
      </c>
      <c r="Z37" s="27" t="n">
        <f aca="false">L37*Inputs!$B$29</f>
        <v>0</v>
      </c>
      <c r="AA37" s="27" t="n">
        <f aca="false">IF(M37="",0,N37*INDEX('Vendor Prices'!$G$5:$G$58,MATCH(M37,'Vendor Prices'!$A$5:$A$58,0))*(1+INDEX('Vendor Prices'!$J$5:$J$58,MATCH(M37,'Vendor Prices'!$A$5:$A$58,0))*Inputs!$B$7))</f>
        <v>0</v>
      </c>
      <c r="AB37" s="62" t="n">
        <f aca="false">Y37+Z37+AA37+O37</f>
        <v>0.10645081875</v>
      </c>
      <c r="AC37" s="19" t="n">
        <v>1.5</v>
      </c>
      <c r="AD37" s="27" t="n">
        <f aca="false">AB37*AC37</f>
        <v>0.159676228125</v>
      </c>
      <c r="AE37" s="17"/>
    </row>
    <row r="38" customFormat="false" ht="15" hidden="false" customHeight="false" outlineLevel="0" collapsed="false">
      <c r="A38" s="7" t="s">
        <v>414</v>
      </c>
      <c r="B38" s="12" t="s">
        <v>767</v>
      </c>
      <c r="C38" s="17" t="s">
        <v>768</v>
      </c>
      <c r="D38" s="17" t="s">
        <v>769</v>
      </c>
      <c r="E38" s="21" t="s">
        <v>105</v>
      </c>
      <c r="F38" s="21" t="s">
        <v>102</v>
      </c>
      <c r="G38" s="34" t="n">
        <v>9000</v>
      </c>
      <c r="H38" s="34" t="n">
        <v>4000</v>
      </c>
      <c r="I38" s="25" t="n">
        <v>1.05</v>
      </c>
      <c r="J38" s="24" t="n">
        <v>0</v>
      </c>
      <c r="K38" s="60"/>
      <c r="L38" s="25" t="n">
        <v>3</v>
      </c>
      <c r="M38" s="21"/>
      <c r="N38" s="60"/>
      <c r="O38" s="27" t="n">
        <f aca="false">$AB$9</f>
        <v>0.00797500875</v>
      </c>
      <c r="P38" s="12" t="str">
        <f aca="false">IF(E38="PREMIUM",Inputs!$B$9,IF(E38="WORKHORSE",Inputs!$B$10,IF(E38="ECONOMY",Inputs!$B$11,E38)))</f>
        <v>anthropic/claude-opus-5.5</v>
      </c>
      <c r="Q38" s="43" t="n">
        <f aca="false">IF(K38&lt;&gt;"",K38,IF(F38="",0,IFERROR(INDEX(Inputs!$B$42:$D$44,MATCH(E38,Inputs!$A$42:$A$44,0),IF(F38="low",1,IF(F38="medium",2,3))),0)))</f>
        <v>800</v>
      </c>
      <c r="R38" s="39" t="n">
        <f aca="false">IF(P38="",0,INDEX('Vendor Prices'!$G$5:$G$58,MATCH(P38,'Vendor Prices'!$A$5:$A$58,0)))</f>
        <v>4</v>
      </c>
      <c r="S38" s="39" t="n">
        <f aca="false">IF(P38="",0,INDEX('Vendor Prices'!$H$5:$H$58,MATCH(P38,'Vendor Prices'!$A$5:$A$58,0)))</f>
        <v>20</v>
      </c>
      <c r="T38" s="27" t="n">
        <f aca="false">IF(P38="",0,IF(INDEX('Vendor Prices'!$I$5:$I$58,MATCH(P38,'Vendor Prices'!$A$5:$A$58,0))=0,R38,INDEX('Vendor Prices'!$I$5:$I$58,MATCH(P38,'Vendor Prices'!$A$5:$A$58,0))))</f>
        <v>0.2</v>
      </c>
      <c r="U38" s="61" t="n">
        <f aca="false">IF(LEFT(P38,10)="anthropic/",Inputs!$B$8,1)</f>
        <v>1.15</v>
      </c>
      <c r="V38" s="27" t="n">
        <f aca="false">IF(P38="",0,I38*(G38*U38*((1-J38)*R38+J38*T38)+(H38+Q38)*U38*S38)/1000000*(1+Inputs!$B$7))</f>
        <v>0.16815645</v>
      </c>
      <c r="W38" s="12" t="str">
        <f aca="false">IF(E38="PREMIUM",Inputs!$B$12,IF(E38="WORKHORSE",Inputs!$B$13,IF(E38="ECONOMY",Inputs!$B$14,"")))</f>
        <v>google/gemini-3.8-flash</v>
      </c>
      <c r="X38" s="27" t="n">
        <f aca="false">IF(W38="",V38,I38*(G38*((1-J38)*INDEX('Vendor Prices'!$G$5:$G$58,MATCH(W38,'Vendor Prices'!$A$5:$A$58,0))+J38*INDEX('Vendor Prices'!$I$5:$I$58,MATCH(W38,'Vendor Prices'!$A$5:$A$58,0)))+(H38+Q38)*INDEX('Vendor Prices'!$H$5:$H$58,MATCH(W38,'Vendor Prices'!$A$5:$A$58,0)))/1000000*(1+Inputs!$B$7))</f>
        <v>0.0274168125</v>
      </c>
      <c r="Y38" s="27" t="n">
        <f aca="false">(1-Inputs!$B$15)*V38+Inputs!$B$15*X38</f>
        <v>0.163934260875</v>
      </c>
      <c r="Z38" s="27" t="n">
        <f aca="false">L38*Inputs!$B$29</f>
        <v>0.024</v>
      </c>
      <c r="AA38" s="27" t="n">
        <f aca="false">IF(M38="",0,N38*INDEX('Vendor Prices'!$G$5:$G$58,MATCH(M38,'Vendor Prices'!$A$5:$A$58,0))*(1+INDEX('Vendor Prices'!$J$5:$J$58,MATCH(M38,'Vendor Prices'!$A$5:$A$58,0))*Inputs!$B$7))</f>
        <v>0</v>
      </c>
      <c r="AB38" s="62" t="n">
        <f aca="false">Y38+Z38+AA38+O38</f>
        <v>0.195909269625</v>
      </c>
      <c r="AC38" s="19" t="n">
        <v>1.5</v>
      </c>
      <c r="AD38" s="27" t="n">
        <f aca="false">AB38*AC38</f>
        <v>0.2938639044375</v>
      </c>
      <c r="AE38" s="17"/>
    </row>
    <row r="39" customFormat="false" ht="15" hidden="false" customHeight="false" outlineLevel="0" collapsed="false">
      <c r="A39" s="7" t="s">
        <v>416</v>
      </c>
      <c r="B39" s="12" t="s">
        <v>767</v>
      </c>
      <c r="C39" s="17" t="s">
        <v>415</v>
      </c>
      <c r="D39" s="17" t="s">
        <v>770</v>
      </c>
      <c r="E39" s="21" t="s">
        <v>105</v>
      </c>
      <c r="F39" s="21" t="s">
        <v>104</v>
      </c>
      <c r="G39" s="34" t="n">
        <v>9000</v>
      </c>
      <c r="H39" s="34" t="n">
        <v>4000</v>
      </c>
      <c r="I39" s="25" t="n">
        <v>1.05</v>
      </c>
      <c r="J39" s="24" t="n">
        <v>0</v>
      </c>
      <c r="K39" s="60"/>
      <c r="L39" s="25" t="n">
        <v>3</v>
      </c>
      <c r="M39" s="21"/>
      <c r="N39" s="60"/>
      <c r="O39" s="27" t="n">
        <f aca="false">$AB$9</f>
        <v>0.00797500875</v>
      </c>
      <c r="P39" s="12" t="str">
        <f aca="false">IF(E39="PREMIUM",Inputs!$B$9,IF(E39="WORKHORSE",Inputs!$B$10,IF(E39="ECONOMY",Inputs!$B$11,E39)))</f>
        <v>anthropic/claude-opus-5.5</v>
      </c>
      <c r="Q39" s="43" t="n">
        <f aca="false">IF(K39&lt;&gt;"",K39,IF(F39="",0,IFERROR(INDEX(Inputs!$B$42:$D$44,MATCH(E39,Inputs!$A$42:$A$44,0),IF(F39="low",1,IF(F39="medium",2,3))),0)))</f>
        <v>8000</v>
      </c>
      <c r="R39" s="39" t="n">
        <f aca="false">IF(P39="",0,INDEX('Vendor Prices'!$G$5:$G$58,MATCH(P39,'Vendor Prices'!$A$5:$A$58,0)))</f>
        <v>4</v>
      </c>
      <c r="S39" s="39" t="n">
        <f aca="false">IF(P39="",0,INDEX('Vendor Prices'!$H$5:$H$58,MATCH(P39,'Vendor Prices'!$A$5:$A$58,0)))</f>
        <v>20</v>
      </c>
      <c r="T39" s="27" t="n">
        <f aca="false">IF(P39="",0,IF(INDEX('Vendor Prices'!$I$5:$I$58,MATCH(P39,'Vendor Prices'!$A$5:$A$58,0))=0,R39,INDEX('Vendor Prices'!$I$5:$I$58,MATCH(P39,'Vendor Prices'!$A$5:$A$58,0))))</f>
        <v>0.2</v>
      </c>
      <c r="U39" s="61" t="n">
        <f aca="false">IF(LEFT(P39,10)="anthropic/",Inputs!$B$8,1)</f>
        <v>1.15</v>
      </c>
      <c r="V39" s="27" t="n">
        <f aca="false">IF(P39="",0,I39*(G39*U39*((1-J39)*R39+J39*T39)+(H39+Q39)*U39*S39)/1000000*(1+Inputs!$B$7))</f>
        <v>0.35159985</v>
      </c>
      <c r="W39" s="12" t="str">
        <f aca="false">IF(E39="PREMIUM",Inputs!$B$12,IF(E39="WORKHORSE",Inputs!$B$13,IF(E39="ECONOMY",Inputs!$B$14,"")))</f>
        <v>google/gemini-3.8-flash</v>
      </c>
      <c r="X39" s="27" t="n">
        <f aca="false">IF(W39="",V39,I39*(G39*((1-J39)*INDEX('Vendor Prices'!$G$5:$G$58,MATCH(W39,'Vendor Prices'!$A$5:$A$58,0))+J39*INDEX('Vendor Prices'!$I$5:$I$58,MATCH(W39,'Vendor Prices'!$A$5:$A$58,0)))+(H39+Q39)*INDEX('Vendor Prices'!$H$5:$H$58,MATCH(W39,'Vendor Prices'!$A$5:$A$58,0)))/1000000*(1+Inputs!$B$7))</f>
        <v>0.0573260625</v>
      </c>
      <c r="Y39" s="27" t="n">
        <f aca="false">(1-Inputs!$B$15)*V39+Inputs!$B$15*X39</f>
        <v>0.342771636375</v>
      </c>
      <c r="Z39" s="27" t="n">
        <f aca="false">L39*Inputs!$B$29</f>
        <v>0.024</v>
      </c>
      <c r="AA39" s="27" t="n">
        <f aca="false">IF(M39="",0,N39*INDEX('Vendor Prices'!$G$5:$G$58,MATCH(M39,'Vendor Prices'!$A$5:$A$58,0))*(1+INDEX('Vendor Prices'!$J$5:$J$58,MATCH(M39,'Vendor Prices'!$A$5:$A$58,0))*Inputs!$B$7))</f>
        <v>0</v>
      </c>
      <c r="AB39" s="62" t="n">
        <f aca="false">Y39+Z39+AA39+O39</f>
        <v>0.374746645125</v>
      </c>
      <c r="AC39" s="19" t="n">
        <v>1.4</v>
      </c>
      <c r="AD39" s="27" t="n">
        <f aca="false">AB39*AC39</f>
        <v>0.524645303175</v>
      </c>
      <c r="AE39" s="17"/>
    </row>
    <row r="40" customFormat="false" ht="23.85" hidden="false" customHeight="false" outlineLevel="0" collapsed="false">
      <c r="A40" s="7" t="s">
        <v>419</v>
      </c>
      <c r="B40" s="12" t="s">
        <v>767</v>
      </c>
      <c r="C40" s="17" t="s">
        <v>771</v>
      </c>
      <c r="D40" s="17" t="s">
        <v>772</v>
      </c>
      <c r="E40" s="21" t="s">
        <v>105</v>
      </c>
      <c r="F40" s="21" t="s">
        <v>103</v>
      </c>
      <c r="G40" s="34" t="n">
        <v>8000</v>
      </c>
      <c r="H40" s="34" t="n">
        <v>4000</v>
      </c>
      <c r="I40" s="25" t="n">
        <v>1</v>
      </c>
      <c r="J40" s="24" t="n">
        <v>0</v>
      </c>
      <c r="K40" s="60"/>
      <c r="L40" s="25" t="n">
        <v>5</v>
      </c>
      <c r="M40" s="21"/>
      <c r="N40" s="60"/>
      <c r="O40" s="60"/>
      <c r="P40" s="12" t="str">
        <f aca="false">IF(E40="PREMIUM",Inputs!$B$9,IF(E40="WORKHORSE",Inputs!$B$10,IF(E40="ECONOMY",Inputs!$B$11,E40)))</f>
        <v>anthropic/claude-opus-5.5</v>
      </c>
      <c r="Q40" s="43" t="n">
        <f aca="false">IF(K40&lt;&gt;"",K40,IF(F40="",0,IFERROR(INDEX(Inputs!$B$42:$D$44,MATCH(E40,Inputs!$A$42:$A$44,0),IF(F40="low",1,IF(F40="medium",2,3))),0)))</f>
        <v>3000</v>
      </c>
      <c r="R40" s="39" t="n">
        <f aca="false">IF(P40="",0,INDEX('Vendor Prices'!$G$5:$G$58,MATCH(P40,'Vendor Prices'!$A$5:$A$58,0)))</f>
        <v>4</v>
      </c>
      <c r="S40" s="39" t="n">
        <f aca="false">IF(P40="",0,INDEX('Vendor Prices'!$H$5:$H$58,MATCH(P40,'Vendor Prices'!$A$5:$A$58,0)))</f>
        <v>20</v>
      </c>
      <c r="T40" s="27" t="n">
        <f aca="false">IF(P40="",0,IF(INDEX('Vendor Prices'!$I$5:$I$58,MATCH(P40,'Vendor Prices'!$A$5:$A$58,0))=0,R40,INDEX('Vendor Prices'!$I$5:$I$58,MATCH(P40,'Vendor Prices'!$A$5:$A$58,0))))</f>
        <v>0.2</v>
      </c>
      <c r="U40" s="61" t="n">
        <f aca="false">IF(LEFT(P40,10)="anthropic/",Inputs!$B$8,1)</f>
        <v>1.15</v>
      </c>
      <c r="V40" s="27" t="n">
        <f aca="false">IF(P40="",0,I40*(G40*U40*((1-J40)*R40+J40*T40)+(H40+Q40)*U40*S40)/1000000*(1+Inputs!$B$7))</f>
        <v>0.208679</v>
      </c>
      <c r="W40" s="12" t="str">
        <f aca="false">IF(E40="PREMIUM",Inputs!$B$12,IF(E40="WORKHORSE",Inputs!$B$13,IF(E40="ECONOMY",Inputs!$B$14,"")))</f>
        <v>google/gemini-3.8-flash</v>
      </c>
      <c r="X40" s="27" t="n">
        <f aca="false">IF(W40="",V40,I40*(G40*((1-J40)*INDEX('Vendor Prices'!$G$5:$G$58,MATCH(W40,'Vendor Prices'!$A$5:$A$58,0))+J40*INDEX('Vendor Prices'!$I$5:$I$58,MATCH(W40,'Vendor Prices'!$A$5:$A$58,0)))+(H40+Q40)*INDEX('Vendor Prices'!$H$5:$H$58,MATCH(W40,'Vendor Prices'!$A$5:$A$58,0)))/1000000*(1+Inputs!$B$7))</f>
        <v>0.03402375</v>
      </c>
      <c r="Y40" s="27" t="n">
        <f aca="false">(1-Inputs!$B$15)*V40+Inputs!$B$15*X40</f>
        <v>0.2034393425</v>
      </c>
      <c r="Z40" s="27" t="n">
        <f aca="false">L40*Inputs!$B$29</f>
        <v>0.04</v>
      </c>
      <c r="AA40" s="27" t="n">
        <f aca="false">IF(M40="",0,N40*INDEX('Vendor Prices'!$G$5:$G$58,MATCH(M40,'Vendor Prices'!$A$5:$A$58,0))*(1+INDEX('Vendor Prices'!$J$5:$J$58,MATCH(M40,'Vendor Prices'!$A$5:$A$58,0))*Inputs!$B$7))</f>
        <v>0</v>
      </c>
      <c r="AB40" s="62" t="n">
        <f aca="false">Y40+Z40+AA40+O40</f>
        <v>0.2434393425</v>
      </c>
      <c r="AC40" s="19" t="n">
        <v>1.6</v>
      </c>
      <c r="AD40" s="27" t="n">
        <f aca="false">AB40*AC40</f>
        <v>0.389502948</v>
      </c>
      <c r="AE40" s="17" t="s">
        <v>773</v>
      </c>
    </row>
    <row r="41" customFormat="false" ht="15" hidden="false" customHeight="false" outlineLevel="0" collapsed="false">
      <c r="A41" s="7" t="s">
        <v>421</v>
      </c>
      <c r="B41" s="12" t="s">
        <v>767</v>
      </c>
      <c r="C41" s="17" t="s">
        <v>420</v>
      </c>
      <c r="D41" s="17" t="s">
        <v>774</v>
      </c>
      <c r="E41" s="21" t="s">
        <v>106</v>
      </c>
      <c r="F41" s="21" t="s">
        <v>102</v>
      </c>
      <c r="G41" s="34" t="n">
        <v>7000</v>
      </c>
      <c r="H41" s="34" t="n">
        <v>2500</v>
      </c>
      <c r="I41" s="25" t="n">
        <v>1.05</v>
      </c>
      <c r="J41" s="24" t="n">
        <v>0</v>
      </c>
      <c r="K41" s="60"/>
      <c r="L41" s="25" t="n">
        <v>4</v>
      </c>
      <c r="M41" s="21"/>
      <c r="N41" s="60"/>
      <c r="O41" s="60"/>
      <c r="P41" s="12" t="str">
        <f aca="false">IF(E41="PREMIUM",Inputs!$B$9,IF(E41="WORKHORSE",Inputs!$B$10,IF(E41="ECONOMY",Inputs!$B$11,E41)))</f>
        <v>google/gemini-3.8-flash</v>
      </c>
      <c r="Q41" s="43" t="n">
        <f aca="false">IF(K41&lt;&gt;"",K41,IF(F41="",0,IFERROR(INDEX(Inputs!$B$42:$D$44,MATCH(E41,Inputs!$A$42:$A$44,0),IF(F41="low",1,IF(F41="medium",2,3))),0)))</f>
        <v>500</v>
      </c>
      <c r="R41" s="39" t="n">
        <f aca="false">IF(P41="",0,INDEX('Vendor Prices'!$G$5:$G$58,MATCH(P41,'Vendor Prices'!$A$5:$A$58,0)))</f>
        <v>0.75</v>
      </c>
      <c r="S41" s="39" t="n">
        <f aca="false">IF(P41="",0,INDEX('Vendor Prices'!$H$5:$H$58,MATCH(P41,'Vendor Prices'!$A$5:$A$58,0)))</f>
        <v>3.75</v>
      </c>
      <c r="T41" s="27" t="n">
        <f aca="false">IF(P41="",0,IF(INDEX('Vendor Prices'!$I$5:$I$58,MATCH(P41,'Vendor Prices'!$A$5:$A$58,0))=0,R41,INDEX('Vendor Prices'!$I$5:$I$58,MATCH(P41,'Vendor Prices'!$A$5:$A$58,0))))</f>
        <v>0.1875</v>
      </c>
      <c r="U41" s="61" t="n">
        <f aca="false">IF(LEFT(P41,10)="anthropic/",Inputs!$B$8,1)</f>
        <v>1</v>
      </c>
      <c r="V41" s="27" t="n">
        <f aca="false">IF(P41="",0,I41*(G41*U41*((1-J41)*R41+J41*T41)+(H41+Q41)*U41*S41)/1000000*(1+Inputs!$B$7))</f>
        <v>0.018277875</v>
      </c>
      <c r="W41" s="12" t="str">
        <f aca="false">IF(E41="PREMIUM",Inputs!$B$12,IF(E41="WORKHORSE",Inputs!$B$13,IF(E41="ECONOMY",Inputs!$B$14,"")))</f>
        <v>openai/gpt-5.6-terra</v>
      </c>
      <c r="X41" s="27" t="n">
        <f aca="false">IF(W41="",V41,I41*(G41*((1-J41)*INDEX('Vendor Prices'!$G$5:$G$58,MATCH(W41,'Vendor Prices'!$A$5:$A$58,0))+J41*INDEX('Vendor Prices'!$I$5:$I$58,MATCH(W41,'Vendor Prices'!$A$5:$A$58,0)))+(H41+Q41)*INDEX('Vendor Prices'!$H$5:$H$58,MATCH(W41,'Vendor Prices'!$A$5:$A$58,0)))/1000000*(1+Inputs!$B$7))</f>
        <v>0.0553875</v>
      </c>
      <c r="Y41" s="27" t="n">
        <f aca="false">(1-Inputs!$B$15)*V41+Inputs!$B$15*X41</f>
        <v>0.01939116375</v>
      </c>
      <c r="Z41" s="27" t="n">
        <f aca="false">L41*Inputs!$B$29</f>
        <v>0.032</v>
      </c>
      <c r="AA41" s="27" t="n">
        <f aca="false">IF(M41="",0,N41*INDEX('Vendor Prices'!$G$5:$G$58,MATCH(M41,'Vendor Prices'!$A$5:$A$58,0))*(1+INDEX('Vendor Prices'!$J$5:$J$58,MATCH(M41,'Vendor Prices'!$A$5:$A$58,0))*Inputs!$B$7))</f>
        <v>0</v>
      </c>
      <c r="AB41" s="62" t="n">
        <f aca="false">Y41+Z41+AA41+O41</f>
        <v>0.05139116375</v>
      </c>
      <c r="AC41" s="19" t="n">
        <v>1.5</v>
      </c>
      <c r="AD41" s="27" t="n">
        <f aca="false">AB41*AC41</f>
        <v>0.077086745625</v>
      </c>
      <c r="AE41" s="17"/>
    </row>
    <row r="42" customFormat="false" ht="15" hidden="false" customHeight="false" outlineLevel="0" collapsed="false">
      <c r="A42" s="7" t="s">
        <v>424</v>
      </c>
      <c r="B42" s="12" t="s">
        <v>767</v>
      </c>
      <c r="C42" s="17" t="s">
        <v>422</v>
      </c>
      <c r="D42" s="17" t="s">
        <v>775</v>
      </c>
      <c r="E42" s="21" t="s">
        <v>106</v>
      </c>
      <c r="F42" s="21" t="s">
        <v>102</v>
      </c>
      <c r="G42" s="34" t="n">
        <v>5000</v>
      </c>
      <c r="H42" s="34" t="n">
        <v>2000</v>
      </c>
      <c r="I42" s="25" t="n">
        <v>1</v>
      </c>
      <c r="J42" s="24" t="n">
        <v>0</v>
      </c>
      <c r="K42" s="60"/>
      <c r="L42" s="25" t="n">
        <v>2</v>
      </c>
      <c r="M42" s="21"/>
      <c r="N42" s="60"/>
      <c r="O42" s="60"/>
      <c r="P42" s="12" t="str">
        <f aca="false">IF(E42="PREMIUM",Inputs!$B$9,IF(E42="WORKHORSE",Inputs!$B$10,IF(E42="ECONOMY",Inputs!$B$11,E42)))</f>
        <v>google/gemini-3.8-flash</v>
      </c>
      <c r="Q42" s="43" t="n">
        <f aca="false">IF(K42&lt;&gt;"",K42,IF(F42="",0,IFERROR(INDEX(Inputs!$B$42:$D$44,MATCH(E42,Inputs!$A$42:$A$44,0),IF(F42="low",1,IF(F42="medium",2,3))),0)))</f>
        <v>500</v>
      </c>
      <c r="R42" s="39" t="n">
        <f aca="false">IF(P42="",0,INDEX('Vendor Prices'!$G$5:$G$58,MATCH(P42,'Vendor Prices'!$A$5:$A$58,0)))</f>
        <v>0.75</v>
      </c>
      <c r="S42" s="39" t="n">
        <f aca="false">IF(P42="",0,INDEX('Vendor Prices'!$H$5:$H$58,MATCH(P42,'Vendor Prices'!$A$5:$A$58,0)))</f>
        <v>3.75</v>
      </c>
      <c r="T42" s="27" t="n">
        <f aca="false">IF(P42="",0,IF(INDEX('Vendor Prices'!$I$5:$I$58,MATCH(P42,'Vendor Prices'!$A$5:$A$58,0))=0,R42,INDEX('Vendor Prices'!$I$5:$I$58,MATCH(P42,'Vendor Prices'!$A$5:$A$58,0))))</f>
        <v>0.1875</v>
      </c>
      <c r="U42" s="61" t="n">
        <f aca="false">IF(LEFT(P42,10)="anthropic/",Inputs!$B$8,1)</f>
        <v>1</v>
      </c>
      <c r="V42" s="27" t="n">
        <f aca="false">IF(P42="",0,I42*(G42*U42*((1-J42)*R42+J42*T42)+(H42+Q42)*U42*S42)/1000000*(1+Inputs!$B$7))</f>
        <v>0.013846875</v>
      </c>
      <c r="W42" s="12" t="str">
        <f aca="false">IF(E42="PREMIUM",Inputs!$B$12,IF(E42="WORKHORSE",Inputs!$B$13,IF(E42="ECONOMY",Inputs!$B$14,"")))</f>
        <v>openai/gpt-5.6-terra</v>
      </c>
      <c r="X42" s="27" t="n">
        <f aca="false">IF(W42="",V42,I42*(G42*((1-J42)*INDEX('Vendor Prices'!$G$5:$G$58,MATCH(W42,'Vendor Prices'!$A$5:$A$58,0))+J42*INDEX('Vendor Prices'!$I$5:$I$58,MATCH(W42,'Vendor Prices'!$A$5:$A$58,0)))+(H42+Q42)*INDEX('Vendor Prices'!$H$5:$H$58,MATCH(W42,'Vendor Prices'!$A$5:$A$58,0)))/1000000*(1+Inputs!$B$7))</f>
        <v>0.0422</v>
      </c>
      <c r="Y42" s="27" t="n">
        <f aca="false">(1-Inputs!$B$15)*V42+Inputs!$B$15*X42</f>
        <v>0.01469746875</v>
      </c>
      <c r="Z42" s="27" t="n">
        <f aca="false">L42*Inputs!$B$29</f>
        <v>0.016</v>
      </c>
      <c r="AA42" s="27" t="n">
        <f aca="false">IF(M42="",0,N42*INDEX('Vendor Prices'!$G$5:$G$58,MATCH(M42,'Vendor Prices'!$A$5:$A$58,0))*(1+INDEX('Vendor Prices'!$J$5:$J$58,MATCH(M42,'Vendor Prices'!$A$5:$A$58,0))*Inputs!$B$7))</f>
        <v>0</v>
      </c>
      <c r="AB42" s="62" t="n">
        <f aca="false">Y42+Z42+AA42+O42</f>
        <v>0.03069746875</v>
      </c>
      <c r="AC42" s="19" t="n">
        <v>1.5</v>
      </c>
      <c r="AD42" s="27" t="n">
        <f aca="false">AB42*AC42</f>
        <v>0.046046203125</v>
      </c>
      <c r="AE42" s="17"/>
    </row>
    <row r="43" customFormat="false" ht="15" hidden="false" customHeight="false" outlineLevel="0" collapsed="false">
      <c r="A43" s="7" t="s">
        <v>776</v>
      </c>
      <c r="B43" s="12" t="s">
        <v>767</v>
      </c>
      <c r="C43" s="17" t="s">
        <v>777</v>
      </c>
      <c r="D43" s="17" t="s">
        <v>778</v>
      </c>
      <c r="E43" s="21" t="s">
        <v>107</v>
      </c>
      <c r="F43" s="21" t="s">
        <v>102</v>
      </c>
      <c r="G43" s="34" t="n">
        <v>5000</v>
      </c>
      <c r="H43" s="34" t="n">
        <v>1500</v>
      </c>
      <c r="I43" s="25" t="n">
        <v>0.6</v>
      </c>
      <c r="J43" s="24" t="n">
        <v>0</v>
      </c>
      <c r="K43" s="60"/>
      <c r="L43" s="25" t="n">
        <v>2</v>
      </c>
      <c r="M43" s="21"/>
      <c r="N43" s="60"/>
      <c r="O43" s="60"/>
      <c r="P43" s="12" t="str">
        <f aca="false">IF(E43="PREMIUM",Inputs!$B$9,IF(E43="WORKHORSE",Inputs!$B$10,IF(E43="ECONOMY",Inputs!$B$11,E43)))</f>
        <v>google/gemini-3.1-flash-lite</v>
      </c>
      <c r="Q43" s="43" t="n">
        <f aca="false">IF(K43&lt;&gt;"",K43,IF(F43="",0,IFERROR(INDEX(Inputs!$B$42:$D$44,MATCH(E43,Inputs!$A$42:$A$44,0),IF(F43="low",1,IF(F43="medium",2,3))),0)))</f>
        <v>200</v>
      </c>
      <c r="R43" s="39" t="n">
        <f aca="false">IF(P43="",0,INDEX('Vendor Prices'!$G$5:$G$58,MATCH(P43,'Vendor Prices'!$A$5:$A$58,0)))</f>
        <v>0.25</v>
      </c>
      <c r="S43" s="39" t="n">
        <f aca="false">IF(P43="",0,INDEX('Vendor Prices'!$H$5:$H$58,MATCH(P43,'Vendor Prices'!$A$5:$A$58,0)))</f>
        <v>1.5</v>
      </c>
      <c r="T43" s="27" t="n">
        <f aca="false">IF(P43="",0,IF(INDEX('Vendor Prices'!$I$5:$I$58,MATCH(P43,'Vendor Prices'!$A$5:$A$58,0))=0,R43,INDEX('Vendor Prices'!$I$5:$I$58,MATCH(P43,'Vendor Prices'!$A$5:$A$58,0))))</f>
        <v>0.0625</v>
      </c>
      <c r="U43" s="61" t="n">
        <f aca="false">IF(LEFT(P43,10)="anthropic/",Inputs!$B$8,1)</f>
        <v>1</v>
      </c>
      <c r="V43" s="27" t="n">
        <f aca="false">IF(P43="",0,I43*(G43*U43*((1-J43)*R43+J43*T43)+(H43+Q43)*U43*S43)/1000000*(1+Inputs!$B$7))</f>
        <v>0.0024054</v>
      </c>
      <c r="W43" s="12" t="str">
        <f aca="false">IF(E43="PREMIUM",Inputs!$B$12,IF(E43="WORKHORSE",Inputs!$B$13,IF(E43="ECONOMY",Inputs!$B$14,"")))</f>
        <v>openai/gpt-5.6-luna</v>
      </c>
      <c r="X43" s="27" t="n">
        <f aca="false">IF(W43="",V43,I43*(G43*((1-J43)*INDEX('Vendor Prices'!$G$5:$G$58,MATCH(W43,'Vendor Prices'!$A$5:$A$58,0))+J43*INDEX('Vendor Prices'!$I$5:$I$58,MATCH(W43,'Vendor Prices'!$A$5:$A$58,0)))+(H43+Q43)*INDEX('Vendor Prices'!$H$5:$H$58,MATCH(W43,'Vendor Prices'!$A$5:$A$58,0)))/1000000*(1+Inputs!$B$7))</f>
        <v>0.00192432</v>
      </c>
      <c r="Y43" s="27" t="n">
        <f aca="false">(1-Inputs!$B$15)*V43+Inputs!$B$15*X43</f>
        <v>0.0023909676</v>
      </c>
      <c r="Z43" s="27" t="n">
        <f aca="false">L43*Inputs!$B$29</f>
        <v>0.016</v>
      </c>
      <c r="AA43" s="27" t="n">
        <f aca="false">IF(M43="",0,N43*INDEX('Vendor Prices'!$G$5:$G$58,MATCH(M43,'Vendor Prices'!$A$5:$A$58,0))*(1+INDEX('Vendor Prices'!$J$5:$J$58,MATCH(M43,'Vendor Prices'!$A$5:$A$58,0))*Inputs!$B$7))</f>
        <v>0</v>
      </c>
      <c r="AB43" s="62" t="n">
        <f aca="false">Y43+Z43+AA43+O43</f>
        <v>0.0183909676</v>
      </c>
      <c r="AC43" s="19" t="n">
        <v>2</v>
      </c>
      <c r="AD43" s="27" t="n">
        <f aca="false">AB43*AC43</f>
        <v>0.0367819352</v>
      </c>
      <c r="AE43" s="17" t="s">
        <v>779</v>
      </c>
    </row>
    <row r="44" customFormat="false" ht="15" hidden="false" customHeight="false" outlineLevel="0" collapsed="false">
      <c r="A44" s="7" t="s">
        <v>427</v>
      </c>
      <c r="B44" s="12" t="s">
        <v>767</v>
      </c>
      <c r="C44" s="17" t="s">
        <v>425</v>
      </c>
      <c r="D44" s="17" t="s">
        <v>780</v>
      </c>
      <c r="E44" s="21" t="s">
        <v>106</v>
      </c>
      <c r="F44" s="21" t="s">
        <v>103</v>
      </c>
      <c r="G44" s="34" t="n">
        <v>10000</v>
      </c>
      <c r="H44" s="34" t="n">
        <v>4000</v>
      </c>
      <c r="I44" s="25" t="n">
        <v>1</v>
      </c>
      <c r="J44" s="24" t="n">
        <v>0</v>
      </c>
      <c r="K44" s="60"/>
      <c r="L44" s="25" t="n">
        <v>3</v>
      </c>
      <c r="M44" s="21"/>
      <c r="N44" s="60"/>
      <c r="O44" s="60"/>
      <c r="P44" s="12" t="str">
        <f aca="false">IF(E44="PREMIUM",Inputs!$B$9,IF(E44="WORKHORSE",Inputs!$B$10,IF(E44="ECONOMY",Inputs!$B$11,E44)))</f>
        <v>google/gemini-3.8-flash</v>
      </c>
      <c r="Q44" s="43" t="n">
        <f aca="false">IF(K44&lt;&gt;"",K44,IF(F44="",0,IFERROR(INDEX(Inputs!$B$42:$D$44,MATCH(E44,Inputs!$A$42:$A$44,0),IF(F44="low",1,IF(F44="medium",2,3))),0)))</f>
        <v>1800</v>
      </c>
      <c r="R44" s="39" t="n">
        <f aca="false">IF(P44="",0,INDEX('Vendor Prices'!$G$5:$G$58,MATCH(P44,'Vendor Prices'!$A$5:$A$58,0)))</f>
        <v>0.75</v>
      </c>
      <c r="S44" s="39" t="n">
        <f aca="false">IF(P44="",0,INDEX('Vendor Prices'!$H$5:$H$58,MATCH(P44,'Vendor Prices'!$A$5:$A$58,0)))</f>
        <v>3.75</v>
      </c>
      <c r="T44" s="27" t="n">
        <f aca="false">IF(P44="",0,IF(INDEX('Vendor Prices'!$I$5:$I$58,MATCH(P44,'Vendor Prices'!$A$5:$A$58,0))=0,R44,INDEX('Vendor Prices'!$I$5:$I$58,MATCH(P44,'Vendor Prices'!$A$5:$A$58,0))))</f>
        <v>0.1875</v>
      </c>
      <c r="U44" s="61" t="n">
        <f aca="false">IF(LEFT(P44,10)="anthropic/",Inputs!$B$8,1)</f>
        <v>1</v>
      </c>
      <c r="V44" s="27" t="n">
        <f aca="false">IF(P44="",0,I44*(G44*U44*((1-J44)*R44+J44*T44)+(H44+Q44)*U44*S44)/1000000*(1+Inputs!$B$7))</f>
        <v>0.03085875</v>
      </c>
      <c r="W44" s="12" t="str">
        <f aca="false">IF(E44="PREMIUM",Inputs!$B$12,IF(E44="WORKHORSE",Inputs!$B$13,IF(E44="ECONOMY",Inputs!$B$14,"")))</f>
        <v>openai/gpt-5.6-terra</v>
      </c>
      <c r="X44" s="27" t="n">
        <f aca="false">IF(W44="",V44,I44*(G44*((1-J44)*INDEX('Vendor Prices'!$G$5:$G$58,MATCH(W44,'Vendor Prices'!$A$5:$A$58,0))+J44*INDEX('Vendor Prices'!$I$5:$I$58,MATCH(W44,'Vendor Prices'!$A$5:$A$58,0)))+(H44+Q44)*INDEX('Vendor Prices'!$H$5:$H$58,MATCH(W44,'Vendor Prices'!$A$5:$A$58,0)))/1000000*(1+Inputs!$B$7))</f>
        <v>0.094528</v>
      </c>
      <c r="Y44" s="27" t="n">
        <f aca="false">(1-Inputs!$B$15)*V44+Inputs!$B$15*X44</f>
        <v>0.0327688275</v>
      </c>
      <c r="Z44" s="27" t="n">
        <f aca="false">L44*Inputs!$B$29</f>
        <v>0.024</v>
      </c>
      <c r="AA44" s="27" t="n">
        <f aca="false">IF(M44="",0,N44*INDEX('Vendor Prices'!$G$5:$G$58,MATCH(M44,'Vendor Prices'!$A$5:$A$58,0))*(1+INDEX('Vendor Prices'!$J$5:$J$58,MATCH(M44,'Vendor Prices'!$A$5:$A$58,0))*Inputs!$B$7))</f>
        <v>0</v>
      </c>
      <c r="AB44" s="62" t="n">
        <f aca="false">Y44+Z44+AA44+O44</f>
        <v>0.0567688275</v>
      </c>
      <c r="AC44" s="19" t="n">
        <v>1.5</v>
      </c>
      <c r="AD44" s="27" t="n">
        <f aca="false">AB44*AC44</f>
        <v>0.08515324125</v>
      </c>
      <c r="AE44" s="17"/>
    </row>
    <row r="45" customFormat="false" ht="15" hidden="false" customHeight="false" outlineLevel="0" collapsed="false">
      <c r="A45" s="7" t="s">
        <v>429</v>
      </c>
      <c r="B45" s="12" t="s">
        <v>767</v>
      </c>
      <c r="C45" s="17" t="s">
        <v>781</v>
      </c>
      <c r="D45" s="17" t="s">
        <v>782</v>
      </c>
      <c r="E45" s="21" t="s">
        <v>106</v>
      </c>
      <c r="F45" s="21" t="s">
        <v>103</v>
      </c>
      <c r="G45" s="34" t="n">
        <v>5000</v>
      </c>
      <c r="H45" s="34" t="n">
        <v>1200</v>
      </c>
      <c r="I45" s="25" t="n">
        <v>1</v>
      </c>
      <c r="J45" s="24" t="n">
        <v>0</v>
      </c>
      <c r="K45" s="60"/>
      <c r="L45" s="25" t="n">
        <v>0</v>
      </c>
      <c r="M45" s="21"/>
      <c r="N45" s="60"/>
      <c r="O45" s="60"/>
      <c r="P45" s="12" t="str">
        <f aca="false">IF(E45="PREMIUM",Inputs!$B$9,IF(E45="WORKHORSE",Inputs!$B$10,IF(E45="ECONOMY",Inputs!$B$11,E45)))</f>
        <v>google/gemini-3.8-flash</v>
      </c>
      <c r="Q45" s="43" t="n">
        <f aca="false">IF(K45&lt;&gt;"",K45,IF(F45="",0,IFERROR(INDEX(Inputs!$B$42:$D$44,MATCH(E45,Inputs!$A$42:$A$44,0),IF(F45="low",1,IF(F45="medium",2,3))),0)))</f>
        <v>1800</v>
      </c>
      <c r="R45" s="39" t="n">
        <f aca="false">IF(P45="",0,INDEX('Vendor Prices'!$G$5:$G$58,MATCH(P45,'Vendor Prices'!$A$5:$A$58,0)))</f>
        <v>0.75</v>
      </c>
      <c r="S45" s="39" t="n">
        <f aca="false">IF(P45="",0,INDEX('Vendor Prices'!$H$5:$H$58,MATCH(P45,'Vendor Prices'!$A$5:$A$58,0)))</f>
        <v>3.75</v>
      </c>
      <c r="T45" s="27" t="n">
        <f aca="false">IF(P45="",0,IF(INDEX('Vendor Prices'!$I$5:$I$58,MATCH(P45,'Vendor Prices'!$A$5:$A$58,0))=0,R45,INDEX('Vendor Prices'!$I$5:$I$58,MATCH(P45,'Vendor Prices'!$A$5:$A$58,0))))</f>
        <v>0.1875</v>
      </c>
      <c r="U45" s="61" t="n">
        <f aca="false">IF(LEFT(P45,10)="anthropic/",Inputs!$B$8,1)</f>
        <v>1</v>
      </c>
      <c r="V45" s="27" t="n">
        <f aca="false">IF(P45="",0,I45*(G45*U45*((1-J45)*R45+J45*T45)+(H45+Q45)*U45*S45)/1000000*(1+Inputs!$B$7))</f>
        <v>0.015825</v>
      </c>
      <c r="W45" s="12" t="str">
        <f aca="false">IF(E45="PREMIUM",Inputs!$B$12,IF(E45="WORKHORSE",Inputs!$B$13,IF(E45="ECONOMY",Inputs!$B$14,"")))</f>
        <v>openai/gpt-5.6-terra</v>
      </c>
      <c r="X45" s="27" t="n">
        <f aca="false">IF(W45="",V45,I45*(G45*((1-J45)*INDEX('Vendor Prices'!$G$5:$G$58,MATCH(W45,'Vendor Prices'!$A$5:$A$58,0))+J45*INDEX('Vendor Prices'!$I$5:$I$58,MATCH(W45,'Vendor Prices'!$A$5:$A$58,0)))+(H45+Q45)*INDEX('Vendor Prices'!$H$5:$H$58,MATCH(W45,'Vendor Prices'!$A$5:$A$58,0)))/1000000*(1+Inputs!$B$7))</f>
        <v>0.04853</v>
      </c>
      <c r="Y45" s="27" t="n">
        <f aca="false">(1-Inputs!$B$15)*V45+Inputs!$B$15*X45</f>
        <v>0.01680615</v>
      </c>
      <c r="Z45" s="27" t="n">
        <f aca="false">L45*Inputs!$B$29</f>
        <v>0</v>
      </c>
      <c r="AA45" s="27" t="n">
        <f aca="false">IF(M45="",0,N45*INDEX('Vendor Prices'!$G$5:$G$58,MATCH(M45,'Vendor Prices'!$A$5:$A$58,0))*(1+INDEX('Vendor Prices'!$J$5:$J$58,MATCH(M45,'Vendor Prices'!$A$5:$A$58,0))*Inputs!$B$7))</f>
        <v>0</v>
      </c>
      <c r="AB45" s="62" t="n">
        <f aca="false">Y45+Z45+AA45+O45</f>
        <v>0.01680615</v>
      </c>
      <c r="AC45" s="19" t="n">
        <v>1.5</v>
      </c>
      <c r="AD45" s="27" t="n">
        <f aca="false">AB45*AC45</f>
        <v>0.025209225</v>
      </c>
      <c r="AE45" s="17"/>
    </row>
    <row r="46" customFormat="false" ht="15" hidden="false" customHeight="false" outlineLevel="0" collapsed="false">
      <c r="A46" s="7" t="s">
        <v>432</v>
      </c>
      <c r="B46" s="12" t="s">
        <v>279</v>
      </c>
      <c r="C46" s="17" t="s">
        <v>783</v>
      </c>
      <c r="D46" s="17" t="s">
        <v>784</v>
      </c>
      <c r="E46" s="21"/>
      <c r="F46" s="21"/>
      <c r="G46" s="34" t="n">
        <v>0</v>
      </c>
      <c r="H46" s="34" t="n">
        <v>0</v>
      </c>
      <c r="I46" s="25" t="n">
        <v>1</v>
      </c>
      <c r="J46" s="24" t="n">
        <v>0</v>
      </c>
      <c r="K46" s="60"/>
      <c r="L46" s="25" t="n">
        <v>5</v>
      </c>
      <c r="M46" s="21" t="s">
        <v>785</v>
      </c>
      <c r="N46" s="25" t="n">
        <v>100</v>
      </c>
      <c r="O46" s="60"/>
      <c r="P46" s="12" t="n">
        <f aca="false">IF(E46="PREMIUM",Inputs!$B$9,IF(E46="WORKHORSE",Inputs!$B$10,IF(E46="ECONOMY",Inputs!$B$11,E46)))</f>
        <v>0</v>
      </c>
      <c r="Q46" s="43" t="n">
        <f aca="false">IF(K46&lt;&gt;"",K46,IF(F46="",0,IFERROR(INDEX(Inputs!$B$42:$D$44,MATCH(E46,Inputs!$A$42:$A$44,0),IF(F46="low",1,IF(F46="medium",2,3))),0)))</f>
        <v>0</v>
      </c>
      <c r="R46" s="39" t="n">
        <f aca="false">IF(P46="",0,INDEX('Vendor Prices'!$G$5:$G$58,MATCH(P46,'Vendor Prices'!$A$5:$A$58,0)))</f>
        <v>0</v>
      </c>
      <c r="S46" s="39" t="n">
        <f aca="false">IF(P46="",0,INDEX('Vendor Prices'!$H$5:$H$58,MATCH(P46,'Vendor Prices'!$A$5:$A$58,0)))</f>
        <v>0</v>
      </c>
      <c r="T46" s="27" t="n">
        <f aca="false">IF(P46="",0,IF(INDEX('Vendor Prices'!$I$5:$I$58,MATCH(P46,'Vendor Prices'!$A$5:$A$58,0))=0,R46,INDEX('Vendor Prices'!$I$5:$I$58,MATCH(P46,'Vendor Prices'!$A$5:$A$58,0))))</f>
        <v>0</v>
      </c>
      <c r="U46" s="61" t="n">
        <f aca="false">IF(LEFT(P46,10)="anthropic/",Inputs!$B$8,1)</f>
        <v>1</v>
      </c>
      <c r="V46" s="27" t="n">
        <f aca="false">IF(P46="",0,I46*(G46*U46*((1-J46)*R46+J46*T46)+(H46+Q46)*U46*S46)/1000000*(1+Inputs!$B$7))</f>
        <v>0</v>
      </c>
      <c r="W46" s="12" t="str">
        <f aca="false">IF(E46="PREMIUM",Inputs!$B$12,IF(E46="WORKHORSE",Inputs!$B$13,IF(E46="ECONOMY",Inputs!$B$14,"")))</f>
        <v/>
      </c>
      <c r="X46" s="27" t="n">
        <f aca="false">IF(W46="",V46,I46*(G46*((1-J46)*INDEX('Vendor Prices'!$G$5:$G$58,MATCH(W46,'Vendor Prices'!$A$5:$A$58,0))+J46*INDEX('Vendor Prices'!$I$5:$I$58,MATCH(W46,'Vendor Prices'!$A$5:$A$58,0)))+(H46+Q46)*INDEX('Vendor Prices'!$H$5:$H$58,MATCH(W46,'Vendor Prices'!$A$5:$A$58,0)))/1000000*(1+Inputs!$B$7))</f>
        <v>0</v>
      </c>
      <c r="Y46" s="27" t="n">
        <f aca="false">(1-Inputs!$B$15)*V46+Inputs!$B$15*X46</f>
        <v>0</v>
      </c>
      <c r="Z46" s="27" t="n">
        <f aca="false">L46*Inputs!$B$29</f>
        <v>0.04</v>
      </c>
      <c r="AA46" s="27" t="n">
        <f aca="false">IF(M46="",0,N46*INDEX('Vendor Prices'!$G$5:$G$58,MATCH(M46,'Vendor Prices'!$A$5:$A$58,0))*(1+INDEX('Vendor Prices'!$J$5:$J$58,MATCH(M46,'Vendor Prices'!$A$5:$A$58,0))*Inputs!$B$7))</f>
        <v>0.03</v>
      </c>
      <c r="AB46" s="62" t="n">
        <f aca="false">Y46+Z46+AA46+O46</f>
        <v>0.07</v>
      </c>
      <c r="AC46" s="19" t="n">
        <v>3</v>
      </c>
      <c r="AD46" s="27" t="n">
        <f aca="false">AB46*AC46</f>
        <v>0.21</v>
      </c>
      <c r="AE46" s="17"/>
    </row>
    <row r="47" customFormat="false" ht="15" hidden="false" customHeight="false" outlineLevel="0" collapsed="false">
      <c r="A47" s="7" t="s">
        <v>786</v>
      </c>
      <c r="B47" s="12" t="s">
        <v>279</v>
      </c>
      <c r="C47" s="17" t="s">
        <v>787</v>
      </c>
      <c r="D47" s="17" t="s">
        <v>788</v>
      </c>
      <c r="E47" s="21" t="s">
        <v>789</v>
      </c>
      <c r="F47" s="21"/>
      <c r="G47" s="34" t="n">
        <v>150</v>
      </c>
      <c r="H47" s="34" t="n">
        <v>600</v>
      </c>
      <c r="I47" s="25" t="n">
        <v>1</v>
      </c>
      <c r="J47" s="24" t="n">
        <v>0</v>
      </c>
      <c r="K47" s="34" t="n">
        <v>0</v>
      </c>
      <c r="L47" s="25" t="n">
        <v>0</v>
      </c>
      <c r="M47" s="21" t="s">
        <v>790</v>
      </c>
      <c r="N47" s="25" t="n">
        <v>1</v>
      </c>
      <c r="O47" s="60"/>
      <c r="P47" s="12" t="str">
        <f aca="false">IF(E47="PREMIUM",Inputs!$B$9,IF(E47="WORKHORSE",Inputs!$B$10,IF(E47="ECONOMY",Inputs!$B$11,E47)))</f>
        <v>perplexity/sonar</v>
      </c>
      <c r="Q47" s="43" t="n">
        <f aca="false">IF(K47&lt;&gt;"",K47,IF(F47="",0,IFERROR(INDEX(Inputs!$B$42:$D$44,MATCH(E47,Inputs!$A$42:$A$44,0),IF(F47="low",1,IF(F47="medium",2,3))),0)))</f>
        <v>0</v>
      </c>
      <c r="R47" s="39" t="n">
        <f aca="false">IF(P47="",0,INDEX('Vendor Prices'!$G$5:$G$58,MATCH(P47,'Vendor Prices'!$A$5:$A$58,0)))</f>
        <v>1</v>
      </c>
      <c r="S47" s="39" t="n">
        <f aca="false">IF(P47="",0,INDEX('Vendor Prices'!$H$5:$H$58,MATCH(P47,'Vendor Prices'!$A$5:$A$58,0)))</f>
        <v>1</v>
      </c>
      <c r="T47" s="27" t="n">
        <f aca="false">IF(P47="",0,IF(INDEX('Vendor Prices'!$I$5:$I$58,MATCH(P47,'Vendor Prices'!$A$5:$A$58,0))=0,R47,INDEX('Vendor Prices'!$I$5:$I$58,MATCH(P47,'Vendor Prices'!$A$5:$A$58,0))))</f>
        <v>1</v>
      </c>
      <c r="U47" s="61" t="n">
        <f aca="false">IF(LEFT(P47,10)="anthropic/",Inputs!$B$8,1)</f>
        <v>1</v>
      </c>
      <c r="V47" s="27" t="n">
        <f aca="false">IF(P47="",0,I47*(G47*U47*((1-J47)*R47+J47*T47)+(H47+Q47)*U47*S47)/1000000*(1+Inputs!$B$7))</f>
        <v>0.00079125</v>
      </c>
      <c r="W47" s="12" t="str">
        <f aca="false">IF(E47="PREMIUM",Inputs!$B$12,IF(E47="WORKHORSE",Inputs!$B$13,IF(E47="ECONOMY",Inputs!$B$14,"")))</f>
        <v/>
      </c>
      <c r="X47" s="27" t="n">
        <f aca="false">IF(W47="",V47,I47*(G47*((1-J47)*INDEX('Vendor Prices'!$G$5:$G$58,MATCH(W47,'Vendor Prices'!$A$5:$A$58,0))+J47*INDEX('Vendor Prices'!$I$5:$I$58,MATCH(W47,'Vendor Prices'!$A$5:$A$58,0)))+(H47+Q47)*INDEX('Vendor Prices'!$H$5:$H$58,MATCH(W47,'Vendor Prices'!$A$5:$A$58,0)))/1000000*(1+Inputs!$B$7))</f>
        <v>0.00079125</v>
      </c>
      <c r="Y47" s="27" t="n">
        <f aca="false">(1-Inputs!$B$15)*V47+Inputs!$B$15*X47</f>
        <v>0.00079125</v>
      </c>
      <c r="Z47" s="27" t="n">
        <f aca="false">L47*Inputs!$B$29</f>
        <v>0</v>
      </c>
      <c r="AA47" s="27" t="n">
        <f aca="false">IF(M47="",0,N47*INDEX('Vendor Prices'!$G$5:$G$58,MATCH(M47,'Vendor Prices'!$A$5:$A$58,0))*(1+INDEX('Vendor Prices'!$J$5:$J$58,MATCH(M47,'Vendor Prices'!$A$5:$A$58,0))*Inputs!$B$7))</f>
        <v>0.005275</v>
      </c>
      <c r="AB47" s="62" t="n">
        <f aca="false">Y47+Z47+AA47+O47</f>
        <v>0.00606625</v>
      </c>
      <c r="AC47" s="19" t="n">
        <v>1.5</v>
      </c>
      <c r="AD47" s="27" t="n">
        <f aca="false">AB47*AC47</f>
        <v>0.009099375</v>
      </c>
      <c r="AE47" s="17"/>
    </row>
    <row r="48" customFormat="false" ht="23.85" hidden="false" customHeight="false" outlineLevel="0" collapsed="false">
      <c r="A48" s="7" t="s">
        <v>791</v>
      </c>
      <c r="B48" s="12" t="s">
        <v>279</v>
      </c>
      <c r="C48" s="17" t="s">
        <v>792</v>
      </c>
      <c r="D48" s="17" t="s">
        <v>788</v>
      </c>
      <c r="E48" s="21" t="s">
        <v>64</v>
      </c>
      <c r="F48" s="21"/>
      <c r="G48" s="34" t="n">
        <v>150</v>
      </c>
      <c r="H48" s="34" t="n">
        <v>600</v>
      </c>
      <c r="I48" s="25" t="n">
        <v>1</v>
      </c>
      <c r="J48" s="24" t="n">
        <v>0</v>
      </c>
      <c r="K48" s="34" t="n">
        <v>500</v>
      </c>
      <c r="L48" s="25" t="n">
        <v>0</v>
      </c>
      <c r="M48" s="21"/>
      <c r="N48" s="60"/>
      <c r="O48" s="60"/>
      <c r="P48" s="12" t="str">
        <f aca="false">IF(E48="PREMIUM",Inputs!$B$9,IF(E48="WORKHORSE",Inputs!$B$10,IF(E48="ECONOMY",Inputs!$B$11,E48)))</f>
        <v>openai/gpt-5.6-luna</v>
      </c>
      <c r="Q48" s="43" t="n">
        <f aca="false">IF(K48&lt;&gt;"",K48,IF(F48="",0,IFERROR(INDEX(Inputs!$B$42:$D$44,MATCH(E48,Inputs!$A$42:$A$44,0),IF(F48="low",1,IF(F48="medium",2,3))),0)))</f>
        <v>500</v>
      </c>
      <c r="R48" s="39" t="n">
        <f aca="false">IF(P48="",0,INDEX('Vendor Prices'!$G$5:$G$58,MATCH(P48,'Vendor Prices'!$A$5:$A$58,0)))</f>
        <v>0.2</v>
      </c>
      <c r="S48" s="39" t="n">
        <f aca="false">IF(P48="",0,INDEX('Vendor Prices'!$H$5:$H$58,MATCH(P48,'Vendor Prices'!$A$5:$A$58,0)))</f>
        <v>1.2</v>
      </c>
      <c r="T48" s="27" t="n">
        <f aca="false">IF(P48="",0,IF(INDEX('Vendor Prices'!$I$5:$I$58,MATCH(P48,'Vendor Prices'!$A$5:$A$58,0))=0,R48,INDEX('Vendor Prices'!$I$5:$I$58,MATCH(P48,'Vendor Prices'!$A$5:$A$58,0))))</f>
        <v>0.05</v>
      </c>
      <c r="U48" s="61" t="n">
        <f aca="false">IF(LEFT(P48,10)="anthropic/",Inputs!$B$8,1)</f>
        <v>1</v>
      </c>
      <c r="V48" s="27" t="n">
        <f aca="false">IF(P48="",0,I48*(G48*U48*((1-J48)*R48+J48*T48)+(H48+Q48)*U48*S48)/1000000*(1+Inputs!$B$7))</f>
        <v>0.00142425</v>
      </c>
      <c r="W48" s="12" t="str">
        <f aca="false">IF(E48="PREMIUM",Inputs!$B$12,IF(E48="WORKHORSE",Inputs!$B$13,IF(E48="ECONOMY",Inputs!$B$14,"")))</f>
        <v/>
      </c>
      <c r="X48" s="27" t="n">
        <f aca="false">IF(W48="",V48,I48*(G48*((1-J48)*INDEX('Vendor Prices'!$G$5:$G$58,MATCH(W48,'Vendor Prices'!$A$5:$A$58,0))+J48*INDEX('Vendor Prices'!$I$5:$I$58,MATCH(W48,'Vendor Prices'!$A$5:$A$58,0)))+(H48+Q48)*INDEX('Vendor Prices'!$H$5:$H$58,MATCH(W48,'Vendor Prices'!$A$5:$A$58,0)))/1000000*(1+Inputs!$B$7))</f>
        <v>0.00142425</v>
      </c>
      <c r="Y48" s="27" t="n">
        <f aca="false">(1-Inputs!$B$15)*V48+Inputs!$B$15*X48</f>
        <v>0.00142425</v>
      </c>
      <c r="Z48" s="27" t="n">
        <f aca="false">L48*Inputs!$B$29</f>
        <v>0</v>
      </c>
      <c r="AA48" s="27" t="n">
        <f aca="false">IF(M48="",0,N48*INDEX('Vendor Prices'!$G$5:$G$58,MATCH(M48,'Vendor Prices'!$A$5:$A$58,0))*(1+INDEX('Vendor Prices'!$J$5:$J$58,MATCH(M48,'Vendor Prices'!$A$5:$A$58,0))*Inputs!$B$7))</f>
        <v>0</v>
      </c>
      <c r="AB48" s="62" t="n">
        <f aca="false">Y48+Z48+AA48+O48</f>
        <v>0.00142425</v>
      </c>
      <c r="AC48" s="19" t="n">
        <v>1.5</v>
      </c>
      <c r="AD48" s="27" t="n">
        <f aca="false">AB48*AC48</f>
        <v>0.002136375</v>
      </c>
      <c r="AE48" s="17"/>
    </row>
    <row r="49" customFormat="false" ht="23.85" hidden="false" customHeight="false" outlineLevel="0" collapsed="false">
      <c r="A49" s="7" t="s">
        <v>793</v>
      </c>
      <c r="B49" s="12" t="s">
        <v>279</v>
      </c>
      <c r="C49" s="17" t="s">
        <v>794</v>
      </c>
      <c r="D49" s="17" t="s">
        <v>788</v>
      </c>
      <c r="E49" s="21" t="s">
        <v>54</v>
      </c>
      <c r="F49" s="21"/>
      <c r="G49" s="34" t="n">
        <v>150</v>
      </c>
      <c r="H49" s="34" t="n">
        <v>600</v>
      </c>
      <c r="I49" s="25" t="n">
        <v>1</v>
      </c>
      <c r="J49" s="24" t="n">
        <v>0</v>
      </c>
      <c r="K49" s="34" t="n">
        <v>1500</v>
      </c>
      <c r="L49" s="25" t="n">
        <v>0</v>
      </c>
      <c r="M49" s="21"/>
      <c r="N49" s="60"/>
      <c r="O49" s="60"/>
      <c r="P49" s="12" t="str">
        <f aca="false">IF(E49="PREMIUM",Inputs!$B$9,IF(E49="WORKHORSE",Inputs!$B$10,IF(E49="ECONOMY",Inputs!$B$11,E49)))</f>
        <v>google/gemini-3.8-flash</v>
      </c>
      <c r="Q49" s="43" t="n">
        <f aca="false">IF(K49&lt;&gt;"",K49,IF(F49="",0,IFERROR(INDEX(Inputs!$B$42:$D$44,MATCH(E49,Inputs!$A$42:$A$44,0),IF(F49="low",1,IF(F49="medium",2,3))),0)))</f>
        <v>1500</v>
      </c>
      <c r="R49" s="39" t="n">
        <f aca="false">IF(P49="",0,INDEX('Vendor Prices'!$G$5:$G$58,MATCH(P49,'Vendor Prices'!$A$5:$A$58,0)))</f>
        <v>0.75</v>
      </c>
      <c r="S49" s="39" t="n">
        <f aca="false">IF(P49="",0,INDEX('Vendor Prices'!$H$5:$H$58,MATCH(P49,'Vendor Prices'!$A$5:$A$58,0)))</f>
        <v>3.75</v>
      </c>
      <c r="T49" s="27" t="n">
        <f aca="false">IF(P49="",0,IF(INDEX('Vendor Prices'!$I$5:$I$58,MATCH(P49,'Vendor Prices'!$A$5:$A$58,0))=0,R49,INDEX('Vendor Prices'!$I$5:$I$58,MATCH(P49,'Vendor Prices'!$A$5:$A$58,0))))</f>
        <v>0.1875</v>
      </c>
      <c r="U49" s="61" t="n">
        <f aca="false">IF(LEFT(P49,10)="anthropic/",Inputs!$B$8,1)</f>
        <v>1</v>
      </c>
      <c r="V49" s="27" t="n">
        <f aca="false">IF(P49="",0,I49*(G49*U49*((1-J49)*R49+J49*T49)+(H49+Q49)*U49*S49)/1000000*(1+Inputs!$B$7))</f>
        <v>0.0084268125</v>
      </c>
      <c r="W49" s="12" t="str">
        <f aca="false">IF(E49="PREMIUM",Inputs!$B$12,IF(E49="WORKHORSE",Inputs!$B$13,IF(E49="ECONOMY",Inputs!$B$14,"")))</f>
        <v/>
      </c>
      <c r="X49" s="27" t="n">
        <f aca="false">IF(W49="",V49,I49*(G49*((1-J49)*INDEX('Vendor Prices'!$G$5:$G$58,MATCH(W49,'Vendor Prices'!$A$5:$A$58,0))+J49*INDEX('Vendor Prices'!$I$5:$I$58,MATCH(W49,'Vendor Prices'!$A$5:$A$58,0)))+(H49+Q49)*INDEX('Vendor Prices'!$H$5:$H$58,MATCH(W49,'Vendor Prices'!$A$5:$A$58,0)))/1000000*(1+Inputs!$B$7))</f>
        <v>0.0084268125</v>
      </c>
      <c r="Y49" s="27" t="n">
        <f aca="false">(1-Inputs!$B$15)*V49+Inputs!$B$15*X49</f>
        <v>0.0084268125</v>
      </c>
      <c r="Z49" s="27" t="n">
        <f aca="false">L49*Inputs!$B$29</f>
        <v>0</v>
      </c>
      <c r="AA49" s="27" t="n">
        <f aca="false">IF(M49="",0,N49*INDEX('Vendor Prices'!$G$5:$G$58,MATCH(M49,'Vendor Prices'!$A$5:$A$58,0))*(1+INDEX('Vendor Prices'!$J$5:$J$58,MATCH(M49,'Vendor Prices'!$A$5:$A$58,0))*Inputs!$B$7))</f>
        <v>0</v>
      </c>
      <c r="AB49" s="62" t="n">
        <f aca="false">Y49+Z49+AA49+O49</f>
        <v>0.0084268125</v>
      </c>
      <c r="AC49" s="19" t="n">
        <v>1.5</v>
      </c>
      <c r="AD49" s="27" t="n">
        <f aca="false">AB49*AC49</f>
        <v>0.01264021875</v>
      </c>
      <c r="AE49" s="17"/>
    </row>
    <row r="50" customFormat="false" ht="23.85" hidden="false" customHeight="false" outlineLevel="0" collapsed="false">
      <c r="A50" s="7" t="s">
        <v>435</v>
      </c>
      <c r="B50" s="12" t="s">
        <v>279</v>
      </c>
      <c r="C50" s="17" t="s">
        <v>795</v>
      </c>
      <c r="D50" s="17" t="s">
        <v>796</v>
      </c>
      <c r="E50" s="21"/>
      <c r="F50" s="21"/>
      <c r="G50" s="34" t="n">
        <v>0</v>
      </c>
      <c r="H50" s="34" t="n">
        <v>0</v>
      </c>
      <c r="I50" s="25" t="n">
        <v>1</v>
      </c>
      <c r="J50" s="24" t="n">
        <v>0</v>
      </c>
      <c r="K50" s="60"/>
      <c r="L50" s="25" t="n">
        <v>0</v>
      </c>
      <c r="M50" s="21"/>
      <c r="N50" s="60"/>
      <c r="O50" s="27" t="n">
        <f aca="false">$AB$47+$AB$48+$AB$49</f>
        <v>0.0159173125</v>
      </c>
      <c r="P50" s="12" t="n">
        <f aca="false">IF(E50="PREMIUM",Inputs!$B$9,IF(E50="WORKHORSE",Inputs!$B$10,IF(E50="ECONOMY",Inputs!$B$11,E50)))</f>
        <v>0</v>
      </c>
      <c r="Q50" s="43" t="n">
        <f aca="false">IF(K50&lt;&gt;"",K50,IF(F50="",0,IFERROR(INDEX(Inputs!$B$42:$D$44,MATCH(E50,Inputs!$A$42:$A$44,0),IF(F50="low",1,IF(F50="medium",2,3))),0)))</f>
        <v>0</v>
      </c>
      <c r="R50" s="39" t="n">
        <f aca="false">IF(P50="",0,INDEX('Vendor Prices'!$G$5:$G$58,MATCH(P50,'Vendor Prices'!$A$5:$A$58,0)))</f>
        <v>0</v>
      </c>
      <c r="S50" s="39" t="n">
        <f aca="false">IF(P50="",0,INDEX('Vendor Prices'!$H$5:$H$58,MATCH(P50,'Vendor Prices'!$A$5:$A$58,0)))</f>
        <v>0</v>
      </c>
      <c r="T50" s="27" t="n">
        <f aca="false">IF(P50="",0,IF(INDEX('Vendor Prices'!$I$5:$I$58,MATCH(P50,'Vendor Prices'!$A$5:$A$58,0))=0,R50,INDEX('Vendor Prices'!$I$5:$I$58,MATCH(P50,'Vendor Prices'!$A$5:$A$58,0))))</f>
        <v>0</v>
      </c>
      <c r="U50" s="61" t="n">
        <f aca="false">IF(LEFT(P50,10)="anthropic/",Inputs!$B$8,1)</f>
        <v>1</v>
      </c>
      <c r="V50" s="27" t="n">
        <f aca="false">IF(P50="",0,I50*(G50*U50*((1-J50)*R50+J50*T50)+(H50+Q50)*U50*S50)/1000000*(1+Inputs!$B$7))</f>
        <v>0</v>
      </c>
      <c r="W50" s="12" t="str">
        <f aca="false">IF(E50="PREMIUM",Inputs!$B$12,IF(E50="WORKHORSE",Inputs!$B$13,IF(E50="ECONOMY",Inputs!$B$14,"")))</f>
        <v/>
      </c>
      <c r="X50" s="27" t="n">
        <f aca="false">IF(W50="",V50,I50*(G50*((1-J50)*INDEX('Vendor Prices'!$G$5:$G$58,MATCH(W50,'Vendor Prices'!$A$5:$A$58,0))+J50*INDEX('Vendor Prices'!$I$5:$I$58,MATCH(W50,'Vendor Prices'!$A$5:$A$58,0)))+(H50+Q50)*INDEX('Vendor Prices'!$H$5:$H$58,MATCH(W50,'Vendor Prices'!$A$5:$A$58,0)))/1000000*(1+Inputs!$B$7))</f>
        <v>0</v>
      </c>
      <c r="Y50" s="27" t="n">
        <f aca="false">(1-Inputs!$B$15)*V50+Inputs!$B$15*X50</f>
        <v>0</v>
      </c>
      <c r="Z50" s="27" t="n">
        <f aca="false">L50*Inputs!$B$29</f>
        <v>0</v>
      </c>
      <c r="AA50" s="27" t="n">
        <f aca="false">IF(M50="",0,N50*INDEX('Vendor Prices'!$G$5:$G$58,MATCH(M50,'Vendor Prices'!$A$5:$A$58,0))*(1+INDEX('Vendor Prices'!$J$5:$J$58,MATCH(M50,'Vendor Prices'!$A$5:$A$58,0))*Inputs!$B$7))</f>
        <v>0</v>
      </c>
      <c r="AB50" s="62" t="n">
        <f aca="false">Y50+Z50+AA50+O50</f>
        <v>0.0159173125</v>
      </c>
      <c r="AC50" s="19" t="n">
        <v>1.3</v>
      </c>
      <c r="AD50" s="27" t="n">
        <f aca="false">AB50*AC50</f>
        <v>0.02069250625</v>
      </c>
      <c r="AE50" s="17"/>
    </row>
    <row r="51" customFormat="false" ht="23.85" hidden="false" customHeight="false" outlineLevel="0" collapsed="false">
      <c r="A51" s="7" t="s">
        <v>797</v>
      </c>
      <c r="B51" s="12" t="s">
        <v>279</v>
      </c>
      <c r="C51" s="17" t="s">
        <v>798</v>
      </c>
      <c r="D51" s="17" t="s">
        <v>799</v>
      </c>
      <c r="E51" s="21" t="s">
        <v>107</v>
      </c>
      <c r="F51" s="21" t="s">
        <v>102</v>
      </c>
      <c r="G51" s="34" t="n">
        <v>2000</v>
      </c>
      <c r="H51" s="34" t="n">
        <v>300</v>
      </c>
      <c r="I51" s="25" t="n">
        <v>1</v>
      </c>
      <c r="J51" s="24" t="n">
        <v>0</v>
      </c>
      <c r="K51" s="60"/>
      <c r="L51" s="25" t="n">
        <v>0</v>
      </c>
      <c r="M51" s="21" t="s">
        <v>800</v>
      </c>
      <c r="N51" s="25" t="n">
        <v>1</v>
      </c>
      <c r="O51" s="60"/>
      <c r="P51" s="12" t="str">
        <f aca="false">IF(E51="PREMIUM",Inputs!$B$9,IF(E51="WORKHORSE",Inputs!$B$10,IF(E51="ECONOMY",Inputs!$B$11,E51)))</f>
        <v>google/gemini-3.1-flash-lite</v>
      </c>
      <c r="Q51" s="43" t="n">
        <f aca="false">IF(K51&lt;&gt;"",K51,IF(F51="",0,IFERROR(INDEX(Inputs!$B$42:$D$44,MATCH(E51,Inputs!$A$42:$A$44,0),IF(F51="low",1,IF(F51="medium",2,3))),0)))</f>
        <v>200</v>
      </c>
      <c r="R51" s="39" t="n">
        <f aca="false">IF(P51="",0,INDEX('Vendor Prices'!$G$5:$G$58,MATCH(P51,'Vendor Prices'!$A$5:$A$58,0)))</f>
        <v>0.25</v>
      </c>
      <c r="S51" s="39" t="n">
        <f aca="false">IF(P51="",0,INDEX('Vendor Prices'!$H$5:$H$58,MATCH(P51,'Vendor Prices'!$A$5:$A$58,0)))</f>
        <v>1.5</v>
      </c>
      <c r="T51" s="27" t="n">
        <f aca="false">IF(P51="",0,IF(INDEX('Vendor Prices'!$I$5:$I$58,MATCH(P51,'Vendor Prices'!$A$5:$A$58,0))=0,R51,INDEX('Vendor Prices'!$I$5:$I$58,MATCH(P51,'Vendor Prices'!$A$5:$A$58,0))))</f>
        <v>0.0625</v>
      </c>
      <c r="U51" s="61" t="n">
        <f aca="false">IF(LEFT(P51,10)="anthropic/",Inputs!$B$8,1)</f>
        <v>1</v>
      </c>
      <c r="V51" s="27" t="n">
        <f aca="false">IF(P51="",0,I51*(G51*U51*((1-J51)*R51+J51*T51)+(H51+Q51)*U51*S51)/1000000*(1+Inputs!$B$7))</f>
        <v>0.00131875</v>
      </c>
      <c r="W51" s="12" t="str">
        <f aca="false">IF(E51="PREMIUM",Inputs!$B$12,IF(E51="WORKHORSE",Inputs!$B$13,IF(E51="ECONOMY",Inputs!$B$14,"")))</f>
        <v>openai/gpt-5.6-luna</v>
      </c>
      <c r="X51" s="27" t="n">
        <f aca="false">IF(W51="",V51,I51*(G51*((1-J51)*INDEX('Vendor Prices'!$G$5:$G$58,MATCH(W51,'Vendor Prices'!$A$5:$A$58,0))+J51*INDEX('Vendor Prices'!$I$5:$I$58,MATCH(W51,'Vendor Prices'!$A$5:$A$58,0)))+(H51+Q51)*INDEX('Vendor Prices'!$H$5:$H$58,MATCH(W51,'Vendor Prices'!$A$5:$A$58,0)))/1000000*(1+Inputs!$B$7))</f>
        <v>0.001055</v>
      </c>
      <c r="Y51" s="27" t="n">
        <f aca="false">(1-Inputs!$B$15)*V51+Inputs!$B$15*X51</f>
        <v>0.0013108375</v>
      </c>
      <c r="Z51" s="27" t="n">
        <f aca="false">L51*Inputs!$B$29</f>
        <v>0</v>
      </c>
      <c r="AA51" s="27" t="n">
        <f aca="false">IF(M51="",0,N51*INDEX('Vendor Prices'!$G$5:$G$58,MATCH(M51,'Vendor Prices'!$A$5:$A$58,0))*(1+INDEX('Vendor Prices'!$J$5:$J$58,MATCH(M51,'Vendor Prices'!$A$5:$A$58,0))*Inputs!$B$7))</f>
        <v>0.0012</v>
      </c>
      <c r="AB51" s="62" t="n">
        <f aca="false">Y51+Z51+AA51+O51</f>
        <v>0.0025108375</v>
      </c>
      <c r="AC51" s="19" t="n">
        <v>3</v>
      </c>
      <c r="AD51" s="27" t="n">
        <f aca="false">AB51*AC51</f>
        <v>0.0075325125</v>
      </c>
      <c r="AE51" s="17"/>
    </row>
    <row r="52" customFormat="false" ht="23.85" hidden="false" customHeight="false" outlineLevel="0" collapsed="false">
      <c r="A52" s="7" t="s">
        <v>801</v>
      </c>
      <c r="B52" s="12" t="s">
        <v>279</v>
      </c>
      <c r="C52" s="17" t="s">
        <v>802</v>
      </c>
      <c r="D52" s="17" t="s">
        <v>799</v>
      </c>
      <c r="E52" s="21" t="s">
        <v>107</v>
      </c>
      <c r="F52" s="21" t="s">
        <v>102</v>
      </c>
      <c r="G52" s="34" t="n">
        <v>2000</v>
      </c>
      <c r="H52" s="34" t="n">
        <v>300</v>
      </c>
      <c r="I52" s="25" t="n">
        <v>1</v>
      </c>
      <c r="J52" s="24" t="n">
        <v>0</v>
      </c>
      <c r="K52" s="60"/>
      <c r="L52" s="25" t="n">
        <v>0</v>
      </c>
      <c r="M52" s="21" t="s">
        <v>803</v>
      </c>
      <c r="N52" s="25" t="n">
        <v>1</v>
      </c>
      <c r="O52" s="60"/>
      <c r="P52" s="12" t="str">
        <f aca="false">IF(E52="PREMIUM",Inputs!$B$9,IF(E52="WORKHORSE",Inputs!$B$10,IF(E52="ECONOMY",Inputs!$B$11,E52)))</f>
        <v>google/gemini-3.1-flash-lite</v>
      </c>
      <c r="Q52" s="43" t="n">
        <f aca="false">IF(K52&lt;&gt;"",K52,IF(F52="",0,IFERROR(INDEX(Inputs!$B$42:$D$44,MATCH(E52,Inputs!$A$42:$A$44,0),IF(F52="low",1,IF(F52="medium",2,3))),0)))</f>
        <v>200</v>
      </c>
      <c r="R52" s="39" t="n">
        <f aca="false">IF(P52="",0,INDEX('Vendor Prices'!$G$5:$G$58,MATCH(P52,'Vendor Prices'!$A$5:$A$58,0)))</f>
        <v>0.25</v>
      </c>
      <c r="S52" s="39" t="n">
        <f aca="false">IF(P52="",0,INDEX('Vendor Prices'!$H$5:$H$58,MATCH(P52,'Vendor Prices'!$A$5:$A$58,0)))</f>
        <v>1.5</v>
      </c>
      <c r="T52" s="27" t="n">
        <f aca="false">IF(P52="",0,IF(INDEX('Vendor Prices'!$I$5:$I$58,MATCH(P52,'Vendor Prices'!$A$5:$A$58,0))=0,R52,INDEX('Vendor Prices'!$I$5:$I$58,MATCH(P52,'Vendor Prices'!$A$5:$A$58,0))))</f>
        <v>0.0625</v>
      </c>
      <c r="U52" s="61" t="n">
        <f aca="false">IF(LEFT(P52,10)="anthropic/",Inputs!$B$8,1)</f>
        <v>1</v>
      </c>
      <c r="V52" s="27" t="n">
        <f aca="false">IF(P52="",0,I52*(G52*U52*((1-J52)*R52+J52*T52)+(H52+Q52)*U52*S52)/1000000*(1+Inputs!$B$7))</f>
        <v>0.00131875</v>
      </c>
      <c r="W52" s="12" t="str">
        <f aca="false">IF(E52="PREMIUM",Inputs!$B$12,IF(E52="WORKHORSE",Inputs!$B$13,IF(E52="ECONOMY",Inputs!$B$14,"")))</f>
        <v>openai/gpt-5.6-luna</v>
      </c>
      <c r="X52" s="27" t="n">
        <f aca="false">IF(W52="",V52,I52*(G52*((1-J52)*INDEX('Vendor Prices'!$G$5:$G$58,MATCH(W52,'Vendor Prices'!$A$5:$A$58,0))+J52*INDEX('Vendor Prices'!$I$5:$I$58,MATCH(W52,'Vendor Prices'!$A$5:$A$58,0)))+(H52+Q52)*INDEX('Vendor Prices'!$H$5:$H$58,MATCH(W52,'Vendor Prices'!$A$5:$A$58,0)))/1000000*(1+Inputs!$B$7))</f>
        <v>0.001055</v>
      </c>
      <c r="Y52" s="27" t="n">
        <f aca="false">(1-Inputs!$B$15)*V52+Inputs!$B$15*X52</f>
        <v>0.0013108375</v>
      </c>
      <c r="Z52" s="27" t="n">
        <f aca="false">L52*Inputs!$B$29</f>
        <v>0</v>
      </c>
      <c r="AA52" s="27" t="n">
        <f aca="false">IF(M52="",0,N52*INDEX('Vendor Prices'!$G$5:$G$58,MATCH(M52,'Vendor Prices'!$A$5:$A$58,0))*(1+INDEX('Vendor Prices'!$J$5:$J$58,MATCH(M52,'Vendor Prices'!$A$5:$A$58,0))*Inputs!$B$7))</f>
        <v>0.0006</v>
      </c>
      <c r="AB52" s="62" t="n">
        <f aca="false">Y52+Z52+AA52+O52</f>
        <v>0.0019108375</v>
      </c>
      <c r="AC52" s="19" t="n">
        <v>3</v>
      </c>
      <c r="AD52" s="27" t="n">
        <f aca="false">AB52*AC52</f>
        <v>0.0057325125</v>
      </c>
      <c r="AE52" s="17"/>
    </row>
    <row r="53" customFormat="false" ht="15" hidden="false" customHeight="false" outlineLevel="0" collapsed="false">
      <c r="A53" s="7" t="s">
        <v>438</v>
      </c>
      <c r="B53" s="12" t="s">
        <v>279</v>
      </c>
      <c r="C53" s="17" t="s">
        <v>436</v>
      </c>
      <c r="D53" s="17" t="s">
        <v>804</v>
      </c>
      <c r="E53" s="21" t="s">
        <v>105</v>
      </c>
      <c r="F53" s="21" t="s">
        <v>103</v>
      </c>
      <c r="G53" s="34" t="n">
        <v>10000</v>
      </c>
      <c r="H53" s="34" t="n">
        <v>6000</v>
      </c>
      <c r="I53" s="25" t="n">
        <v>1.1</v>
      </c>
      <c r="J53" s="24" t="n">
        <v>0</v>
      </c>
      <c r="K53" s="60"/>
      <c r="L53" s="25" t="n">
        <v>0</v>
      </c>
      <c r="M53" s="21"/>
      <c r="N53" s="60"/>
      <c r="O53" s="60"/>
      <c r="P53" s="12" t="str">
        <f aca="false">IF(E53="PREMIUM",Inputs!$B$9,IF(E53="WORKHORSE",Inputs!$B$10,IF(E53="ECONOMY",Inputs!$B$11,E53)))</f>
        <v>anthropic/claude-opus-5.5</v>
      </c>
      <c r="Q53" s="43" t="n">
        <f aca="false">IF(K53&lt;&gt;"",K53,IF(F53="",0,IFERROR(INDEX(Inputs!$B$42:$D$44,MATCH(E53,Inputs!$A$42:$A$44,0),IF(F53="low",1,IF(F53="medium",2,3))),0)))</f>
        <v>3000</v>
      </c>
      <c r="R53" s="39" t="n">
        <f aca="false">IF(P53="",0,INDEX('Vendor Prices'!$G$5:$G$58,MATCH(P53,'Vendor Prices'!$A$5:$A$58,0)))</f>
        <v>4</v>
      </c>
      <c r="S53" s="39" t="n">
        <f aca="false">IF(P53="",0,INDEX('Vendor Prices'!$H$5:$H$58,MATCH(P53,'Vendor Prices'!$A$5:$A$58,0)))</f>
        <v>20</v>
      </c>
      <c r="T53" s="27" t="n">
        <f aca="false">IF(P53="",0,IF(INDEX('Vendor Prices'!$I$5:$I$58,MATCH(P53,'Vendor Prices'!$A$5:$A$58,0))=0,R53,INDEX('Vendor Prices'!$I$5:$I$58,MATCH(P53,'Vendor Prices'!$A$5:$A$58,0))))</f>
        <v>0.2</v>
      </c>
      <c r="U53" s="61" t="n">
        <f aca="false">IF(LEFT(P53,10)="anthropic/",Inputs!$B$8,1)</f>
        <v>1.15</v>
      </c>
      <c r="V53" s="27" t="n">
        <f aca="false">IF(P53="",0,I53*(G53*U53*((1-J53)*R53+J53*T53)+(H53+Q53)*U53*S53)/1000000*(1+Inputs!$B$7))</f>
        <v>0.2936065</v>
      </c>
      <c r="W53" s="12" t="str">
        <f aca="false">IF(E53="PREMIUM",Inputs!$B$12,IF(E53="WORKHORSE",Inputs!$B$13,IF(E53="ECONOMY",Inputs!$B$14,"")))</f>
        <v>google/gemini-3.8-flash</v>
      </c>
      <c r="X53" s="27" t="n">
        <f aca="false">IF(W53="",V53,I53*(G53*((1-J53)*INDEX('Vendor Prices'!$G$5:$G$58,MATCH(W53,'Vendor Prices'!$A$5:$A$58,0))+J53*INDEX('Vendor Prices'!$I$5:$I$58,MATCH(W53,'Vendor Prices'!$A$5:$A$58,0)))+(H53+Q53)*INDEX('Vendor Prices'!$H$5:$H$58,MATCH(W53,'Vendor Prices'!$A$5:$A$58,0)))/1000000*(1+Inputs!$B$7))</f>
        <v>0.047870625</v>
      </c>
      <c r="Y53" s="27" t="n">
        <f aca="false">(1-Inputs!$B$15)*V53+Inputs!$B$15*X53</f>
        <v>0.28623442375</v>
      </c>
      <c r="Z53" s="27" t="n">
        <f aca="false">L53*Inputs!$B$29</f>
        <v>0</v>
      </c>
      <c r="AA53" s="27" t="n">
        <f aca="false">IF(M53="",0,N53*INDEX('Vendor Prices'!$G$5:$G$58,MATCH(M53,'Vendor Prices'!$A$5:$A$58,0))*(1+INDEX('Vendor Prices'!$J$5:$J$58,MATCH(M53,'Vendor Prices'!$A$5:$A$58,0))*Inputs!$B$7))</f>
        <v>0</v>
      </c>
      <c r="AB53" s="62" t="n">
        <f aca="false">Y53+Z53+AA53+O53</f>
        <v>0.28623442375</v>
      </c>
      <c r="AC53" s="19" t="n">
        <v>1.4</v>
      </c>
      <c r="AD53" s="27" t="n">
        <f aca="false">AB53*AC53</f>
        <v>0.40072819325</v>
      </c>
      <c r="AE53" s="17"/>
    </row>
    <row r="54" customFormat="false" ht="15" hidden="false" customHeight="false" outlineLevel="0" collapsed="false">
      <c r="A54" s="7" t="s">
        <v>441</v>
      </c>
      <c r="B54" s="12" t="s">
        <v>279</v>
      </c>
      <c r="C54" s="17" t="s">
        <v>439</v>
      </c>
      <c r="D54" s="17" t="s">
        <v>805</v>
      </c>
      <c r="E54" s="21" t="s">
        <v>106</v>
      </c>
      <c r="F54" s="21" t="s">
        <v>103</v>
      </c>
      <c r="G54" s="34" t="n">
        <v>8000</v>
      </c>
      <c r="H54" s="34" t="n">
        <v>1870</v>
      </c>
      <c r="I54" s="25" t="n">
        <v>3</v>
      </c>
      <c r="J54" s="24" t="n">
        <v>0</v>
      </c>
      <c r="K54" s="60"/>
      <c r="L54" s="25" t="n">
        <v>0</v>
      </c>
      <c r="M54" s="21"/>
      <c r="N54" s="60"/>
      <c r="O54" s="27" t="n">
        <f aca="false">0.2*$AB$10</f>
        <v>0.0406878685</v>
      </c>
      <c r="P54" s="12" t="str">
        <f aca="false">IF(E54="PREMIUM",Inputs!$B$9,IF(E54="WORKHORSE",Inputs!$B$10,IF(E54="ECONOMY",Inputs!$B$11,E54)))</f>
        <v>google/gemini-3.8-flash</v>
      </c>
      <c r="Q54" s="43" t="n">
        <f aca="false">IF(K54&lt;&gt;"",K54,IF(F54="",0,IFERROR(INDEX(Inputs!$B$42:$D$44,MATCH(E54,Inputs!$A$42:$A$44,0),IF(F54="low",1,IF(F54="medium",2,3))),0)))</f>
        <v>1800</v>
      </c>
      <c r="R54" s="39" t="n">
        <f aca="false">IF(P54="",0,INDEX('Vendor Prices'!$G$5:$G$58,MATCH(P54,'Vendor Prices'!$A$5:$A$58,0)))</f>
        <v>0.75</v>
      </c>
      <c r="S54" s="39" t="n">
        <f aca="false">IF(P54="",0,INDEX('Vendor Prices'!$H$5:$H$58,MATCH(P54,'Vendor Prices'!$A$5:$A$58,0)))</f>
        <v>3.75</v>
      </c>
      <c r="T54" s="27" t="n">
        <f aca="false">IF(P54="",0,IF(INDEX('Vendor Prices'!$I$5:$I$58,MATCH(P54,'Vendor Prices'!$A$5:$A$58,0))=0,R54,INDEX('Vendor Prices'!$I$5:$I$58,MATCH(P54,'Vendor Prices'!$A$5:$A$58,0))))</f>
        <v>0.1875</v>
      </c>
      <c r="U54" s="61" t="n">
        <f aca="false">IF(LEFT(P54,10)="anthropic/",Inputs!$B$8,1)</f>
        <v>1</v>
      </c>
      <c r="V54" s="27" t="n">
        <f aca="false">IF(P54="",0,I54*(G54*U54*((1-J54)*R54+J54*T54)+(H54+Q54)*U54*S54)/1000000*(1+Inputs!$B$7))</f>
        <v>0.0625483125</v>
      </c>
      <c r="W54" s="12" t="str">
        <f aca="false">IF(E54="PREMIUM",Inputs!$B$12,IF(E54="WORKHORSE",Inputs!$B$13,IF(E54="ECONOMY",Inputs!$B$14,"")))</f>
        <v>openai/gpt-5.6-terra</v>
      </c>
      <c r="X54" s="27" t="n">
        <f aca="false">IF(W54="",V54,I54*(G54*((1-J54)*INDEX('Vendor Prices'!$G$5:$G$58,MATCH(W54,'Vendor Prices'!$A$5:$A$58,0))+J54*INDEX('Vendor Prices'!$I$5:$I$58,MATCH(W54,'Vendor Prices'!$A$5:$A$58,0)))+(H54+Q54)*INDEX('Vendor Prices'!$H$5:$H$58,MATCH(W54,'Vendor Prices'!$A$5:$A$58,0)))/1000000*(1+Inputs!$B$7))</f>
        <v>0.1900266</v>
      </c>
      <c r="Y54" s="27" t="n">
        <f aca="false">(1-Inputs!$B$15)*V54+Inputs!$B$15*X54</f>
        <v>0.066372661125</v>
      </c>
      <c r="Z54" s="27" t="n">
        <f aca="false">L54*Inputs!$B$29</f>
        <v>0</v>
      </c>
      <c r="AA54" s="27" t="n">
        <f aca="false">IF(M54="",0,N54*INDEX('Vendor Prices'!$G$5:$G$58,MATCH(M54,'Vendor Prices'!$A$5:$A$58,0))*(1+INDEX('Vendor Prices'!$J$5:$J$58,MATCH(M54,'Vendor Prices'!$A$5:$A$58,0))*Inputs!$B$7))</f>
        <v>0</v>
      </c>
      <c r="AB54" s="62" t="n">
        <f aca="false">Y54+Z54+AA54+O54</f>
        <v>0.107060529625</v>
      </c>
      <c r="AC54" s="19" t="n">
        <v>1.5</v>
      </c>
      <c r="AD54" s="27" t="n">
        <f aca="false">AB54*AC54</f>
        <v>0.1605907944375</v>
      </c>
      <c r="AE54" s="17"/>
    </row>
    <row r="55" customFormat="false" ht="23.85" hidden="false" customHeight="false" outlineLevel="0" collapsed="false">
      <c r="A55" s="7" t="s">
        <v>443</v>
      </c>
      <c r="B55" s="12" t="s">
        <v>279</v>
      </c>
      <c r="C55" s="17" t="s">
        <v>442</v>
      </c>
      <c r="D55" s="17" t="s">
        <v>806</v>
      </c>
      <c r="E55" s="21"/>
      <c r="F55" s="21"/>
      <c r="G55" s="34" t="n">
        <v>0</v>
      </c>
      <c r="H55" s="34" t="n">
        <v>0</v>
      </c>
      <c r="I55" s="25" t="n">
        <v>1</v>
      </c>
      <c r="J55" s="24" t="n">
        <v>0</v>
      </c>
      <c r="K55" s="60"/>
      <c r="L55" s="25" t="n">
        <v>0</v>
      </c>
      <c r="M55" s="21"/>
      <c r="N55" s="60"/>
      <c r="O55" s="63" t="n">
        <v>1.6</v>
      </c>
      <c r="P55" s="12" t="n">
        <f aca="false">IF(E55="PREMIUM",Inputs!$B$9,IF(E55="WORKHORSE",Inputs!$B$10,IF(E55="ECONOMY",Inputs!$B$11,E55)))</f>
        <v>0</v>
      </c>
      <c r="Q55" s="43" t="n">
        <f aca="false">IF(K55&lt;&gt;"",K55,IF(F55="",0,IFERROR(INDEX(Inputs!$B$42:$D$44,MATCH(E55,Inputs!$A$42:$A$44,0),IF(F55="low",1,IF(F55="medium",2,3))),0)))</f>
        <v>0</v>
      </c>
      <c r="R55" s="39" t="n">
        <f aca="false">IF(P55="",0,INDEX('Vendor Prices'!$G$5:$G$58,MATCH(P55,'Vendor Prices'!$A$5:$A$58,0)))</f>
        <v>0</v>
      </c>
      <c r="S55" s="39" t="n">
        <f aca="false">IF(P55="",0,INDEX('Vendor Prices'!$H$5:$H$58,MATCH(P55,'Vendor Prices'!$A$5:$A$58,0)))</f>
        <v>0</v>
      </c>
      <c r="T55" s="27" t="n">
        <f aca="false">IF(P55="",0,IF(INDEX('Vendor Prices'!$I$5:$I$58,MATCH(P55,'Vendor Prices'!$A$5:$A$58,0))=0,R55,INDEX('Vendor Prices'!$I$5:$I$58,MATCH(P55,'Vendor Prices'!$A$5:$A$58,0))))</f>
        <v>0</v>
      </c>
      <c r="U55" s="61" t="n">
        <f aca="false">IF(LEFT(P55,10)="anthropic/",Inputs!$B$8,1)</f>
        <v>1</v>
      </c>
      <c r="V55" s="27" t="n">
        <f aca="false">IF(P55="",0,I55*(G55*U55*((1-J55)*R55+J55*T55)+(H55+Q55)*U55*S55)/1000000*(1+Inputs!$B$7))</f>
        <v>0</v>
      </c>
      <c r="W55" s="12" t="str">
        <f aca="false">IF(E55="PREMIUM",Inputs!$B$12,IF(E55="WORKHORSE",Inputs!$B$13,IF(E55="ECONOMY",Inputs!$B$14,"")))</f>
        <v/>
      </c>
      <c r="X55" s="27" t="n">
        <f aca="false">IF(W55="",V55,I55*(G55*((1-J55)*INDEX('Vendor Prices'!$G$5:$G$58,MATCH(W55,'Vendor Prices'!$A$5:$A$58,0))+J55*INDEX('Vendor Prices'!$I$5:$I$58,MATCH(W55,'Vendor Prices'!$A$5:$A$58,0)))+(H55+Q55)*INDEX('Vendor Prices'!$H$5:$H$58,MATCH(W55,'Vendor Prices'!$A$5:$A$58,0)))/1000000*(1+Inputs!$B$7))</f>
        <v>0</v>
      </c>
      <c r="Y55" s="27" t="n">
        <f aca="false">(1-Inputs!$B$15)*V55+Inputs!$B$15*X55</f>
        <v>0</v>
      </c>
      <c r="Z55" s="27" t="n">
        <f aca="false">L55*Inputs!$B$29</f>
        <v>0</v>
      </c>
      <c r="AA55" s="27" t="n">
        <f aca="false">IF(M55="",0,N55*INDEX('Vendor Prices'!$G$5:$G$58,MATCH(M55,'Vendor Prices'!$A$5:$A$58,0))*(1+INDEX('Vendor Prices'!$J$5:$J$58,MATCH(M55,'Vendor Prices'!$A$5:$A$58,0))*Inputs!$B$7))</f>
        <v>0</v>
      </c>
      <c r="AB55" s="62" t="n">
        <f aca="false">Y55+Z55+AA55+O55</f>
        <v>1.6</v>
      </c>
      <c r="AC55" s="19" t="n">
        <v>1.875</v>
      </c>
      <c r="AD55" s="27" t="n">
        <f aca="false">AB55*AC55</f>
        <v>3</v>
      </c>
      <c r="AE55" s="17" t="s">
        <v>807</v>
      </c>
    </row>
    <row r="56" customFormat="false" ht="23.85" hidden="false" customHeight="false" outlineLevel="0" collapsed="false">
      <c r="A56" s="7" t="s">
        <v>446</v>
      </c>
      <c r="B56" s="12" t="s">
        <v>279</v>
      </c>
      <c r="C56" s="17" t="s">
        <v>444</v>
      </c>
      <c r="D56" s="17" t="s">
        <v>808</v>
      </c>
      <c r="E56" s="21" t="s">
        <v>105</v>
      </c>
      <c r="F56" s="21" t="s">
        <v>102</v>
      </c>
      <c r="G56" s="34" t="n">
        <v>5000</v>
      </c>
      <c r="H56" s="34" t="n">
        <v>2000</v>
      </c>
      <c r="I56" s="25" t="n">
        <v>1</v>
      </c>
      <c r="J56" s="24" t="n">
        <v>0</v>
      </c>
      <c r="K56" s="60"/>
      <c r="L56" s="25" t="n">
        <v>0</v>
      </c>
      <c r="M56" s="21"/>
      <c r="N56" s="60"/>
      <c r="O56" s="27" t="n">
        <f aca="false">$AB$11+$AB$12</f>
        <v>0.05372904</v>
      </c>
      <c r="P56" s="12" t="str">
        <f aca="false">IF(E56="PREMIUM",Inputs!$B$9,IF(E56="WORKHORSE",Inputs!$B$10,IF(E56="ECONOMY",Inputs!$B$11,E56)))</f>
        <v>anthropic/claude-opus-5.5</v>
      </c>
      <c r="Q56" s="43" t="n">
        <f aca="false">IF(K56&lt;&gt;"",K56,IF(F56="",0,IFERROR(INDEX(Inputs!$B$42:$D$44,MATCH(E56,Inputs!$A$42:$A$44,0),IF(F56="low",1,IF(F56="medium",2,3))),0)))</f>
        <v>800</v>
      </c>
      <c r="R56" s="39" t="n">
        <f aca="false">IF(P56="",0,INDEX('Vendor Prices'!$G$5:$G$58,MATCH(P56,'Vendor Prices'!$A$5:$A$58,0)))</f>
        <v>4</v>
      </c>
      <c r="S56" s="39" t="n">
        <f aca="false">IF(P56="",0,INDEX('Vendor Prices'!$H$5:$H$58,MATCH(P56,'Vendor Prices'!$A$5:$A$58,0)))</f>
        <v>20</v>
      </c>
      <c r="T56" s="27" t="n">
        <f aca="false">IF(P56="",0,IF(INDEX('Vendor Prices'!$I$5:$I$58,MATCH(P56,'Vendor Prices'!$A$5:$A$58,0))=0,R56,INDEX('Vendor Prices'!$I$5:$I$58,MATCH(P56,'Vendor Prices'!$A$5:$A$58,0))))</f>
        <v>0.2</v>
      </c>
      <c r="U56" s="61" t="n">
        <f aca="false">IF(LEFT(P56,10)="anthropic/",Inputs!$B$8,1)</f>
        <v>1.15</v>
      </c>
      <c r="V56" s="27" t="n">
        <f aca="false">IF(P56="",0,I56*(G56*U56*((1-J56)*R56+J56*T56)+(H56+Q56)*U56*S56)/1000000*(1+Inputs!$B$7))</f>
        <v>0.092207</v>
      </c>
      <c r="W56" s="12" t="str">
        <f aca="false">IF(E56="PREMIUM",Inputs!$B$12,IF(E56="WORKHORSE",Inputs!$B$13,IF(E56="ECONOMY",Inputs!$B$14,"")))</f>
        <v>google/gemini-3.8-flash</v>
      </c>
      <c r="X56" s="27" t="n">
        <f aca="false">IF(W56="",V56,I56*(G56*((1-J56)*INDEX('Vendor Prices'!$G$5:$G$58,MATCH(W56,'Vendor Prices'!$A$5:$A$58,0))+J56*INDEX('Vendor Prices'!$I$5:$I$58,MATCH(W56,'Vendor Prices'!$A$5:$A$58,0)))+(H56+Q56)*INDEX('Vendor Prices'!$H$5:$H$58,MATCH(W56,'Vendor Prices'!$A$5:$A$58,0)))/1000000*(1+Inputs!$B$7))</f>
        <v>0.01503375</v>
      </c>
      <c r="Y56" s="27" t="n">
        <f aca="false">(1-Inputs!$B$15)*V56+Inputs!$B$15*X56</f>
        <v>0.0898918025</v>
      </c>
      <c r="Z56" s="27" t="n">
        <f aca="false">L56*Inputs!$B$29</f>
        <v>0</v>
      </c>
      <c r="AA56" s="27" t="n">
        <f aca="false">IF(M56="",0,N56*INDEX('Vendor Prices'!$G$5:$G$58,MATCH(M56,'Vendor Prices'!$A$5:$A$58,0))*(1+INDEX('Vendor Prices'!$J$5:$J$58,MATCH(M56,'Vendor Prices'!$A$5:$A$58,0))*Inputs!$B$7))</f>
        <v>0</v>
      </c>
      <c r="AB56" s="62" t="n">
        <f aca="false">Y56+Z56+AA56+O56</f>
        <v>0.1436208425</v>
      </c>
      <c r="AC56" s="19" t="n">
        <v>1.5</v>
      </c>
      <c r="AD56" s="27" t="n">
        <f aca="false">AB56*AC56</f>
        <v>0.21543126375</v>
      </c>
      <c r="AE56" s="17"/>
    </row>
    <row r="57" customFormat="false" ht="23.85" hidden="false" customHeight="false" outlineLevel="0" collapsed="false">
      <c r="A57" s="7" t="s">
        <v>449</v>
      </c>
      <c r="B57" s="12" t="s">
        <v>809</v>
      </c>
      <c r="C57" s="17" t="s">
        <v>810</v>
      </c>
      <c r="D57" s="17" t="s">
        <v>811</v>
      </c>
      <c r="E57" s="21" t="s">
        <v>106</v>
      </c>
      <c r="F57" s="21" t="s">
        <v>103</v>
      </c>
      <c r="G57" s="34" t="n">
        <v>6000</v>
      </c>
      <c r="H57" s="34" t="n">
        <v>4000</v>
      </c>
      <c r="I57" s="25" t="n">
        <v>1</v>
      </c>
      <c r="J57" s="24" t="n">
        <v>0</v>
      </c>
      <c r="K57" s="60"/>
      <c r="L57" s="25" t="n">
        <v>0</v>
      </c>
      <c r="M57" s="21"/>
      <c r="N57" s="60"/>
      <c r="O57" s="27" t="n">
        <f aca="false">$AB$14+$AB$15</f>
        <v>0.021829005</v>
      </c>
      <c r="P57" s="12" t="str">
        <f aca="false">IF(E57="PREMIUM",Inputs!$B$9,IF(E57="WORKHORSE",Inputs!$B$10,IF(E57="ECONOMY",Inputs!$B$11,E57)))</f>
        <v>google/gemini-3.8-flash</v>
      </c>
      <c r="Q57" s="43" t="n">
        <f aca="false">IF(K57&lt;&gt;"",K57,IF(F57="",0,IFERROR(INDEX(Inputs!$B$42:$D$44,MATCH(E57,Inputs!$A$42:$A$44,0),IF(F57="low",1,IF(F57="medium",2,3))),0)))</f>
        <v>1800</v>
      </c>
      <c r="R57" s="39" t="n">
        <f aca="false">IF(P57="",0,INDEX('Vendor Prices'!$G$5:$G$58,MATCH(P57,'Vendor Prices'!$A$5:$A$58,0)))</f>
        <v>0.75</v>
      </c>
      <c r="S57" s="39" t="n">
        <f aca="false">IF(P57="",0,INDEX('Vendor Prices'!$H$5:$H$58,MATCH(P57,'Vendor Prices'!$A$5:$A$58,0)))</f>
        <v>3.75</v>
      </c>
      <c r="T57" s="27" t="n">
        <f aca="false">IF(P57="",0,IF(INDEX('Vendor Prices'!$I$5:$I$58,MATCH(P57,'Vendor Prices'!$A$5:$A$58,0))=0,R57,INDEX('Vendor Prices'!$I$5:$I$58,MATCH(P57,'Vendor Prices'!$A$5:$A$58,0))))</f>
        <v>0.1875</v>
      </c>
      <c r="U57" s="61" t="n">
        <f aca="false">IF(LEFT(P57,10)="anthropic/",Inputs!$B$8,1)</f>
        <v>1</v>
      </c>
      <c r="V57" s="27" t="n">
        <f aca="false">IF(P57="",0,I57*(G57*U57*((1-J57)*R57+J57*T57)+(H57+Q57)*U57*S57)/1000000*(1+Inputs!$B$7))</f>
        <v>0.02769375</v>
      </c>
      <c r="W57" s="12" t="str">
        <f aca="false">IF(E57="PREMIUM",Inputs!$B$12,IF(E57="WORKHORSE",Inputs!$B$13,IF(E57="ECONOMY",Inputs!$B$14,"")))</f>
        <v>openai/gpt-5.6-terra</v>
      </c>
      <c r="X57" s="27" t="n">
        <f aca="false">IF(W57="",V57,I57*(G57*((1-J57)*INDEX('Vendor Prices'!$G$5:$G$58,MATCH(W57,'Vendor Prices'!$A$5:$A$58,0))+J57*INDEX('Vendor Prices'!$I$5:$I$58,MATCH(W57,'Vendor Prices'!$A$5:$A$58,0)))+(H57+Q57)*INDEX('Vendor Prices'!$H$5:$H$58,MATCH(W57,'Vendor Prices'!$A$5:$A$58,0)))/1000000*(1+Inputs!$B$7))</f>
        <v>0.086088</v>
      </c>
      <c r="Y57" s="27" t="n">
        <f aca="false">(1-Inputs!$B$15)*V57+Inputs!$B$15*X57</f>
        <v>0.0294455775</v>
      </c>
      <c r="Z57" s="27" t="n">
        <f aca="false">L57*Inputs!$B$29</f>
        <v>0</v>
      </c>
      <c r="AA57" s="27" t="n">
        <f aca="false">IF(M57="",0,N57*INDEX('Vendor Prices'!$G$5:$G$58,MATCH(M57,'Vendor Prices'!$A$5:$A$58,0))*(1+INDEX('Vendor Prices'!$J$5:$J$58,MATCH(M57,'Vendor Prices'!$A$5:$A$58,0))*Inputs!$B$7))</f>
        <v>0</v>
      </c>
      <c r="AB57" s="62" t="n">
        <f aca="false">Y57+Z57+AA57+O57</f>
        <v>0.0512745825</v>
      </c>
      <c r="AC57" s="19" t="n">
        <v>1.5</v>
      </c>
      <c r="AD57" s="27" t="n">
        <f aca="false">AB57*AC57</f>
        <v>0.07691187375</v>
      </c>
      <c r="AE57" s="17"/>
    </row>
    <row r="58" customFormat="false" ht="15" hidden="false" customHeight="false" outlineLevel="0" collapsed="false">
      <c r="A58" s="7" t="s">
        <v>457</v>
      </c>
      <c r="B58" s="12" t="s">
        <v>812</v>
      </c>
      <c r="C58" s="17" t="s">
        <v>813</v>
      </c>
      <c r="D58" s="17" t="s">
        <v>814</v>
      </c>
      <c r="E58" s="21" t="s">
        <v>107</v>
      </c>
      <c r="F58" s="21" t="s">
        <v>102</v>
      </c>
      <c r="G58" s="34" t="n">
        <v>3000</v>
      </c>
      <c r="H58" s="34" t="n">
        <v>600</v>
      </c>
      <c r="I58" s="25" t="n">
        <v>10</v>
      </c>
      <c r="J58" s="24" t="n">
        <v>0</v>
      </c>
      <c r="K58" s="60"/>
      <c r="L58" s="25" t="n">
        <v>0</v>
      </c>
      <c r="M58" s="21"/>
      <c r="N58" s="60"/>
      <c r="O58" s="27" t="n">
        <f aca="false">$AB$13</f>
        <v>0.00963663375</v>
      </c>
      <c r="P58" s="12" t="str">
        <f aca="false">IF(E58="PREMIUM",Inputs!$B$9,IF(E58="WORKHORSE",Inputs!$B$10,IF(E58="ECONOMY",Inputs!$B$11,E58)))</f>
        <v>google/gemini-3.1-flash-lite</v>
      </c>
      <c r="Q58" s="43" t="n">
        <f aca="false">IF(K58&lt;&gt;"",K58,IF(F58="",0,IFERROR(INDEX(Inputs!$B$42:$D$44,MATCH(E58,Inputs!$A$42:$A$44,0),IF(F58="low",1,IF(F58="medium",2,3))),0)))</f>
        <v>200</v>
      </c>
      <c r="R58" s="39" t="n">
        <f aca="false">IF(P58="",0,INDEX('Vendor Prices'!$G$5:$G$58,MATCH(P58,'Vendor Prices'!$A$5:$A$58,0)))</f>
        <v>0.25</v>
      </c>
      <c r="S58" s="39" t="n">
        <f aca="false">IF(P58="",0,INDEX('Vendor Prices'!$H$5:$H$58,MATCH(P58,'Vendor Prices'!$A$5:$A$58,0)))</f>
        <v>1.5</v>
      </c>
      <c r="T58" s="27" t="n">
        <f aca="false">IF(P58="",0,IF(INDEX('Vendor Prices'!$I$5:$I$58,MATCH(P58,'Vendor Prices'!$A$5:$A$58,0))=0,R58,INDEX('Vendor Prices'!$I$5:$I$58,MATCH(P58,'Vendor Prices'!$A$5:$A$58,0))))</f>
        <v>0.0625</v>
      </c>
      <c r="U58" s="61" t="n">
        <f aca="false">IF(LEFT(P58,10)="anthropic/",Inputs!$B$8,1)</f>
        <v>1</v>
      </c>
      <c r="V58" s="27" t="n">
        <f aca="false">IF(P58="",0,I58*(G58*U58*((1-J58)*R58+J58*T58)+(H58+Q58)*U58*S58)/1000000*(1+Inputs!$B$7))</f>
        <v>0.0205725</v>
      </c>
      <c r="W58" s="12" t="str">
        <f aca="false">IF(E58="PREMIUM",Inputs!$B$12,IF(E58="WORKHORSE",Inputs!$B$13,IF(E58="ECONOMY",Inputs!$B$14,"")))</f>
        <v>openai/gpt-5.6-luna</v>
      </c>
      <c r="X58" s="27" t="n">
        <f aca="false">IF(W58="",V58,I58*(G58*((1-J58)*INDEX('Vendor Prices'!$G$5:$G$58,MATCH(W58,'Vendor Prices'!$A$5:$A$58,0))+J58*INDEX('Vendor Prices'!$I$5:$I$58,MATCH(W58,'Vendor Prices'!$A$5:$A$58,0)))+(H58+Q58)*INDEX('Vendor Prices'!$H$5:$H$58,MATCH(W58,'Vendor Prices'!$A$5:$A$58,0)))/1000000*(1+Inputs!$B$7))</f>
        <v>0.016458</v>
      </c>
      <c r="Y58" s="27" t="n">
        <f aca="false">(1-Inputs!$B$15)*V58+Inputs!$B$15*X58</f>
        <v>0.020449065</v>
      </c>
      <c r="Z58" s="27" t="n">
        <f aca="false">L58*Inputs!$B$29</f>
        <v>0</v>
      </c>
      <c r="AA58" s="27" t="n">
        <f aca="false">IF(M58="",0,N58*INDEX('Vendor Prices'!$G$5:$G$58,MATCH(M58,'Vendor Prices'!$A$5:$A$58,0))*(1+INDEX('Vendor Prices'!$J$5:$J$58,MATCH(M58,'Vendor Prices'!$A$5:$A$58,0))*Inputs!$B$7))</f>
        <v>0</v>
      </c>
      <c r="AB58" s="62" t="n">
        <f aca="false">Y58+Z58+AA58+O58</f>
        <v>0.03008569875</v>
      </c>
      <c r="AC58" s="19" t="n">
        <v>1.5</v>
      </c>
      <c r="AD58" s="27" t="n">
        <f aca="false">AB58*AC58</f>
        <v>0.045128548125</v>
      </c>
      <c r="AE58" s="17"/>
    </row>
    <row r="59" customFormat="false" ht="15" hidden="false" customHeight="false" outlineLevel="0" collapsed="false">
      <c r="A59" s="7" t="s">
        <v>815</v>
      </c>
      <c r="B59" s="12" t="s">
        <v>327</v>
      </c>
      <c r="C59" s="17" t="s">
        <v>816</v>
      </c>
      <c r="D59" s="17" t="s">
        <v>817</v>
      </c>
      <c r="E59" s="21"/>
      <c r="F59" s="21"/>
      <c r="G59" s="34" t="n">
        <v>0</v>
      </c>
      <c r="H59" s="34" t="n">
        <v>0</v>
      </c>
      <c r="I59" s="25" t="n">
        <v>1</v>
      </c>
      <c r="J59" s="24" t="n">
        <v>0</v>
      </c>
      <c r="K59" s="60"/>
      <c r="L59" s="25" t="n">
        <v>0</v>
      </c>
      <c r="M59" s="21"/>
      <c r="N59" s="60"/>
      <c r="O59" s="27" t="n">
        <f aca="false">Inputs!$B$26</f>
        <v>0.01</v>
      </c>
      <c r="P59" s="12" t="n">
        <f aca="false">IF(E59="PREMIUM",Inputs!$B$9,IF(E59="WORKHORSE",Inputs!$B$10,IF(E59="ECONOMY",Inputs!$B$11,E59)))</f>
        <v>0</v>
      </c>
      <c r="Q59" s="43" t="n">
        <f aca="false">IF(K59&lt;&gt;"",K59,IF(F59="",0,IFERROR(INDEX(Inputs!$B$42:$D$44,MATCH(E59,Inputs!$A$42:$A$44,0),IF(F59="low",1,IF(F59="medium",2,3))),0)))</f>
        <v>0</v>
      </c>
      <c r="R59" s="39" t="n">
        <f aca="false">IF(P59="",0,INDEX('Vendor Prices'!$G$5:$G$58,MATCH(P59,'Vendor Prices'!$A$5:$A$58,0)))</f>
        <v>0</v>
      </c>
      <c r="S59" s="39" t="n">
        <f aca="false">IF(P59="",0,INDEX('Vendor Prices'!$H$5:$H$58,MATCH(P59,'Vendor Prices'!$A$5:$A$58,0)))</f>
        <v>0</v>
      </c>
      <c r="T59" s="27" t="n">
        <f aca="false">IF(P59="",0,IF(INDEX('Vendor Prices'!$I$5:$I$58,MATCH(P59,'Vendor Prices'!$A$5:$A$58,0))=0,R59,INDEX('Vendor Prices'!$I$5:$I$58,MATCH(P59,'Vendor Prices'!$A$5:$A$58,0))))</f>
        <v>0</v>
      </c>
      <c r="U59" s="61" t="n">
        <f aca="false">IF(LEFT(P59,10)="anthropic/",Inputs!$B$8,1)</f>
        <v>1</v>
      </c>
      <c r="V59" s="27" t="n">
        <f aca="false">IF(P59="",0,I59*(G59*U59*((1-J59)*R59+J59*T59)+(H59+Q59)*U59*S59)/1000000*(1+Inputs!$B$7))</f>
        <v>0</v>
      </c>
      <c r="W59" s="12" t="str">
        <f aca="false">IF(E59="PREMIUM",Inputs!$B$12,IF(E59="WORKHORSE",Inputs!$B$13,IF(E59="ECONOMY",Inputs!$B$14,"")))</f>
        <v/>
      </c>
      <c r="X59" s="27" t="n">
        <f aca="false">IF(W59="",V59,I59*(G59*((1-J59)*INDEX('Vendor Prices'!$G$5:$G$58,MATCH(W59,'Vendor Prices'!$A$5:$A$58,0))+J59*INDEX('Vendor Prices'!$I$5:$I$58,MATCH(W59,'Vendor Prices'!$A$5:$A$58,0)))+(H59+Q59)*INDEX('Vendor Prices'!$H$5:$H$58,MATCH(W59,'Vendor Prices'!$A$5:$A$58,0)))/1000000*(1+Inputs!$B$7))</f>
        <v>0</v>
      </c>
      <c r="Y59" s="27" t="n">
        <f aca="false">(1-Inputs!$B$15)*V59+Inputs!$B$15*X59</f>
        <v>0</v>
      </c>
      <c r="Z59" s="27" t="n">
        <f aca="false">L59*Inputs!$B$29</f>
        <v>0</v>
      </c>
      <c r="AA59" s="27" t="n">
        <f aca="false">IF(M59="",0,N59*INDEX('Vendor Prices'!$G$5:$G$58,MATCH(M59,'Vendor Prices'!$A$5:$A$58,0))*(1+INDEX('Vendor Prices'!$J$5:$J$58,MATCH(M59,'Vendor Prices'!$A$5:$A$58,0))*Inputs!$B$7))</f>
        <v>0</v>
      </c>
      <c r="AB59" s="62" t="n">
        <f aca="false">Y59+Z59+AA59+O59</f>
        <v>0.01</v>
      </c>
      <c r="AC59" s="19" t="n">
        <v>1</v>
      </c>
      <c r="AD59" s="27" t="n">
        <f aca="false">AB59*AC59</f>
        <v>0.01</v>
      </c>
      <c r="AE59" s="17"/>
    </row>
    <row r="60" customFormat="false" ht="23.85" hidden="false" customHeight="false" outlineLevel="0" collapsed="false">
      <c r="A60" s="7" t="s">
        <v>818</v>
      </c>
      <c r="B60" s="12" t="s">
        <v>819</v>
      </c>
      <c r="C60" s="17" t="s">
        <v>820</v>
      </c>
      <c r="D60" s="17" t="s">
        <v>821</v>
      </c>
      <c r="E60" s="21"/>
      <c r="F60" s="21"/>
      <c r="G60" s="34" t="n">
        <v>0</v>
      </c>
      <c r="H60" s="34" t="n">
        <v>0</v>
      </c>
      <c r="I60" s="25" t="n">
        <v>1</v>
      </c>
      <c r="J60" s="24" t="n">
        <v>0</v>
      </c>
      <c r="K60" s="60"/>
      <c r="L60" s="25" t="n">
        <v>0</v>
      </c>
      <c r="M60" s="21"/>
      <c r="N60" s="60"/>
      <c r="O60" s="63" t="n">
        <v>0.4</v>
      </c>
      <c r="P60" s="12" t="n">
        <f aca="false">IF(E60="PREMIUM",Inputs!$B$9,IF(E60="WORKHORSE",Inputs!$B$10,IF(E60="ECONOMY",Inputs!$B$11,E60)))</f>
        <v>0</v>
      </c>
      <c r="Q60" s="43" t="n">
        <f aca="false">IF(K60&lt;&gt;"",K60,IF(F60="",0,IFERROR(INDEX(Inputs!$B$42:$D$44,MATCH(E60,Inputs!$A$42:$A$44,0),IF(F60="low",1,IF(F60="medium",2,3))),0)))</f>
        <v>0</v>
      </c>
      <c r="R60" s="39" t="n">
        <f aca="false">IF(P60="",0,INDEX('Vendor Prices'!$G$5:$G$58,MATCH(P60,'Vendor Prices'!$A$5:$A$58,0)))</f>
        <v>0</v>
      </c>
      <c r="S60" s="39" t="n">
        <f aca="false">IF(P60="",0,INDEX('Vendor Prices'!$H$5:$H$58,MATCH(P60,'Vendor Prices'!$A$5:$A$58,0)))</f>
        <v>0</v>
      </c>
      <c r="T60" s="27" t="n">
        <f aca="false">IF(P60="",0,IF(INDEX('Vendor Prices'!$I$5:$I$58,MATCH(P60,'Vendor Prices'!$A$5:$A$58,0))=0,R60,INDEX('Vendor Prices'!$I$5:$I$58,MATCH(P60,'Vendor Prices'!$A$5:$A$58,0))))</f>
        <v>0</v>
      </c>
      <c r="U60" s="61" t="n">
        <f aca="false">IF(LEFT(P60,10)="anthropic/",Inputs!$B$8,1)</f>
        <v>1</v>
      </c>
      <c r="V60" s="27" t="n">
        <f aca="false">IF(P60="",0,I60*(G60*U60*((1-J60)*R60+J60*T60)+(H60+Q60)*U60*S60)/1000000*(1+Inputs!$B$7))</f>
        <v>0</v>
      </c>
      <c r="W60" s="12" t="str">
        <f aca="false">IF(E60="PREMIUM",Inputs!$B$12,IF(E60="WORKHORSE",Inputs!$B$13,IF(E60="ECONOMY",Inputs!$B$14,"")))</f>
        <v/>
      </c>
      <c r="X60" s="27" t="n">
        <f aca="false">IF(W60="",V60,I60*(G60*((1-J60)*INDEX('Vendor Prices'!$G$5:$G$58,MATCH(W60,'Vendor Prices'!$A$5:$A$58,0))+J60*INDEX('Vendor Prices'!$I$5:$I$58,MATCH(W60,'Vendor Prices'!$A$5:$A$58,0)))+(H60+Q60)*INDEX('Vendor Prices'!$H$5:$H$58,MATCH(W60,'Vendor Prices'!$A$5:$A$58,0)))/1000000*(1+Inputs!$B$7))</f>
        <v>0</v>
      </c>
      <c r="Y60" s="27" t="n">
        <f aca="false">(1-Inputs!$B$15)*V60+Inputs!$B$15*X60</f>
        <v>0</v>
      </c>
      <c r="Z60" s="27" t="n">
        <f aca="false">L60*Inputs!$B$29</f>
        <v>0</v>
      </c>
      <c r="AA60" s="27" t="n">
        <f aca="false">IF(M60="",0,N60*INDEX('Vendor Prices'!$G$5:$G$58,MATCH(M60,'Vendor Prices'!$A$5:$A$58,0))*(1+INDEX('Vendor Prices'!$J$5:$J$58,MATCH(M60,'Vendor Prices'!$A$5:$A$58,0))*Inputs!$B$7))</f>
        <v>0</v>
      </c>
      <c r="AB60" s="62" t="n">
        <f aca="false">Y60+Z60+AA60+O60</f>
        <v>0.4</v>
      </c>
      <c r="AC60" s="19" t="n">
        <v>2</v>
      </c>
      <c r="AD60" s="27" t="n">
        <f aca="false">AB60*AC60</f>
        <v>0.8</v>
      </c>
      <c r="AE60"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30"/>
    <col collapsed="false" customWidth="true" hidden="false" outlineLevel="0" max="4" min="4" style="0" width="14"/>
    <col collapsed="false" customWidth="true" hidden="false" outlineLevel="0" max="5" min="5" style="0" width="30"/>
    <col collapsed="false" customWidth="true" hidden="false" outlineLevel="0" max="6" min="6" style="0" width="44"/>
    <col collapsed="false" customWidth="true" hidden="false" outlineLevel="0" max="7" min="7" style="0" width="16"/>
  </cols>
  <sheetData>
    <row r="1" customFormat="false" ht="17.35" hidden="false" customHeight="false" outlineLevel="0" collapsed="false">
      <c r="A1" s="1" t="s">
        <v>822</v>
      </c>
      <c r="B1" s="2"/>
      <c r="C1" s="2"/>
      <c r="D1" s="2"/>
      <c r="E1" s="2"/>
      <c r="F1" s="2"/>
      <c r="G1" s="2"/>
    </row>
    <row r="2" customFormat="false" ht="15" hidden="false" customHeight="false" outlineLevel="0" collapsed="false">
      <c r="A2" s="3" t="s">
        <v>823</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824</v>
      </c>
      <c r="B4" s="6" t="s">
        <v>101</v>
      </c>
      <c r="C4" s="6" t="s">
        <v>825</v>
      </c>
      <c r="D4" s="6" t="s">
        <v>657</v>
      </c>
      <c r="E4" s="6" t="s">
        <v>826</v>
      </c>
      <c r="F4" s="6" t="s">
        <v>827</v>
      </c>
      <c r="G4" s="6" t="s">
        <v>828</v>
      </c>
    </row>
    <row r="5" customFormat="false" ht="15" hidden="false" customHeight="false" outlineLevel="0" collapsed="false">
      <c r="A5" s="7" t="s">
        <v>829</v>
      </c>
      <c r="B5" s="12" t="s">
        <v>105</v>
      </c>
      <c r="C5" s="12" t="str">
        <f aca="false">IF(B5="PREMIUM",Inputs!$B$9,IF(B5="WORKHORSE",Inputs!$B$10,IF(B5="ECONOMY",Inputs!$B$11,B5)))</f>
        <v>anthropic/claude-opus-5.5</v>
      </c>
      <c r="D5" s="12" t="s">
        <v>103</v>
      </c>
      <c r="E5" s="12" t="str">
        <f aca="false">IF(B5="PREMIUM",Inputs!$B$12&amp;" (high)",IF(B5="WORKHORSE",Inputs!$B$13,IF(B5="ECONOMY",Inputs!$B$14,"")))</f>
        <v>google/gemini-3.8-flash (high)</v>
      </c>
      <c r="F5" s="31" t="s">
        <v>830</v>
      </c>
      <c r="G5" s="13" t="n">
        <f aca="false">'Unit Costs'!$AB$24</f>
        <v>0.234385407875</v>
      </c>
    </row>
    <row r="6" customFormat="false" ht="15" hidden="false" customHeight="false" outlineLevel="0" collapsed="false">
      <c r="A6" s="7" t="s">
        <v>831</v>
      </c>
      <c r="B6" s="12" t="s">
        <v>107</v>
      </c>
      <c r="C6" s="12" t="str">
        <f aca="false">IF(B6="PREMIUM",Inputs!$B$9,IF(B6="WORKHORSE",Inputs!$B$10,IF(B6="ECONOMY",Inputs!$B$11,B6)))</f>
        <v>google/gemini-3.1-flash-lite</v>
      </c>
      <c r="D6" s="12" t="s">
        <v>102</v>
      </c>
      <c r="E6" s="12" t="str">
        <f aca="false">IF(B6="PREMIUM",Inputs!$B$12&amp;" (high)",IF(B6="WORKHORSE",Inputs!$B$13,IF(B6="ECONOMY",Inputs!$B$14,"")))</f>
        <v>openai/gpt-5.6-luna</v>
      </c>
      <c r="F6" s="31"/>
      <c r="G6" s="60"/>
    </row>
    <row r="7" customFormat="false" ht="15" hidden="false" customHeight="false" outlineLevel="0" collapsed="false">
      <c r="A7" s="7" t="s">
        <v>751</v>
      </c>
      <c r="B7" s="12" t="s">
        <v>106</v>
      </c>
      <c r="C7" s="12" t="str">
        <f aca="false">IF(B7="PREMIUM",Inputs!$B$9,IF(B7="WORKHORSE",Inputs!$B$10,IF(B7="ECONOMY",Inputs!$B$11,B7)))</f>
        <v>google/gemini-3.8-flash</v>
      </c>
      <c r="D7" s="12" t="s">
        <v>103</v>
      </c>
      <c r="E7" s="12" t="str">
        <f aca="false">IF(B7="PREMIUM",Inputs!$B$12&amp;" (high)",IF(B7="WORKHORSE",Inputs!$B$13,IF(B7="ECONOMY",Inputs!$B$14,"")))</f>
        <v>openai/gpt-5.6-terra</v>
      </c>
      <c r="F7" s="31" t="s">
        <v>832</v>
      </c>
      <c r="G7" s="13" t="n">
        <f aca="false">'Unit Costs'!$AB$26</f>
        <v>0.01345758</v>
      </c>
    </row>
    <row r="8" customFormat="false" ht="15" hidden="false" customHeight="false" outlineLevel="0" collapsed="false">
      <c r="A8" s="7" t="s">
        <v>748</v>
      </c>
      <c r="B8" s="12" t="s">
        <v>105</v>
      </c>
      <c r="C8" s="12" t="str">
        <f aca="false">IF(B8="PREMIUM",Inputs!$B$9,IF(B8="WORKHORSE",Inputs!$B$10,IF(B8="ECONOMY",Inputs!$B$11,B8)))</f>
        <v>anthropic/claude-opus-5.5</v>
      </c>
      <c r="D8" s="12" t="s">
        <v>102</v>
      </c>
      <c r="E8" s="12" t="str">
        <f aca="false">IF(B8="PREMIUM",Inputs!$B$12&amp;" (high)",IF(B8="WORKHORSE",Inputs!$B$13,IF(B8="ECONOMY",Inputs!$B$14,"")))</f>
        <v>google/gemini-3.8-flash (high)</v>
      </c>
      <c r="F8" s="31" t="s">
        <v>833</v>
      </c>
      <c r="G8" s="13" t="n">
        <f aca="false">'Unit Costs'!$AB$25</f>
        <v>0.08279508125</v>
      </c>
    </row>
    <row r="9" customFormat="false" ht="15" hidden="false" customHeight="false" outlineLevel="0" collapsed="false">
      <c r="A9" s="7" t="s">
        <v>742</v>
      </c>
      <c r="B9" s="12" t="s">
        <v>106</v>
      </c>
      <c r="C9" s="12" t="str">
        <f aca="false">IF(B9="PREMIUM",Inputs!$B$9,IF(B9="WORKHORSE",Inputs!$B$10,IF(B9="ECONOMY",Inputs!$B$11,B9)))</f>
        <v>google/gemini-3.8-flash</v>
      </c>
      <c r="D9" s="12" t="s">
        <v>102</v>
      </c>
      <c r="E9" s="12" t="str">
        <f aca="false">IF(B9="PREMIUM",Inputs!$B$12&amp;" (high)",IF(B9="WORKHORSE",Inputs!$B$13,IF(B9="ECONOMY",Inputs!$B$14,"")))</f>
        <v>openai/gpt-5.6-terra</v>
      </c>
      <c r="F9" s="31"/>
      <c r="G9" s="13" t="n">
        <f aca="false">'Unit Costs'!$AB$22</f>
        <v>0.01215439125</v>
      </c>
    </row>
    <row r="10" customFormat="false" ht="15" hidden="false" customHeight="false" outlineLevel="0" collapsed="false">
      <c r="A10" s="7" t="s">
        <v>743</v>
      </c>
      <c r="B10" s="12" t="s">
        <v>107</v>
      </c>
      <c r="C10" s="12" t="str">
        <f aca="false">IF(B10="PREMIUM",Inputs!$B$9,IF(B10="WORKHORSE",Inputs!$B$10,IF(B10="ECONOMY",Inputs!$B$11,B10)))</f>
        <v>google/gemini-3.1-flash-lite</v>
      </c>
      <c r="D10" s="12" t="s">
        <v>102</v>
      </c>
      <c r="E10" s="12" t="str">
        <f aca="false">IF(B10="PREMIUM",Inputs!$B$12&amp;" (high)",IF(B10="WORKHORSE",Inputs!$B$13,IF(B10="ECONOMY",Inputs!$B$14,"")))</f>
        <v>openai/gpt-5.6-luna</v>
      </c>
      <c r="F10" s="31" t="s">
        <v>834</v>
      </c>
      <c r="G10" s="13" t="n">
        <f aca="false">'Unit Costs'!$AB$23</f>
        <v>0.0077876935</v>
      </c>
    </row>
    <row r="11" customFormat="false" ht="15" hidden="false" customHeight="false" outlineLevel="0" collapsed="false">
      <c r="A11" s="7" t="s">
        <v>835</v>
      </c>
      <c r="B11" s="12" t="s">
        <v>106</v>
      </c>
      <c r="C11" s="12" t="str">
        <f aca="false">IF(B11="PREMIUM",Inputs!$B$9,IF(B11="WORKHORSE",Inputs!$B$10,IF(B11="ECONOMY",Inputs!$B$11,B11)))</f>
        <v>google/gemini-3.8-flash</v>
      </c>
      <c r="D11" s="12" t="s">
        <v>102</v>
      </c>
      <c r="E11" s="12" t="str">
        <f aca="false">IF(B11="PREMIUM",Inputs!$B$12&amp;" (high)",IF(B11="WORKHORSE",Inputs!$B$13,IF(B11="ECONOMY",Inputs!$B$14,"")))</f>
        <v>openai/gpt-5.6-terra</v>
      </c>
      <c r="F11" s="31"/>
      <c r="G11" s="13" t="n">
        <f aca="false">'Unit Costs'!$AB$19</f>
        <v>0.00893005753125</v>
      </c>
    </row>
    <row r="12" customFormat="false" ht="15" hidden="false" customHeight="false" outlineLevel="0" collapsed="false">
      <c r="A12" s="7" t="s">
        <v>736</v>
      </c>
      <c r="B12" s="12" t="s">
        <v>105</v>
      </c>
      <c r="C12" s="12" t="str">
        <f aca="false">IF(B12="PREMIUM",Inputs!$B$9,IF(B12="WORKHORSE",Inputs!$B$10,IF(B12="ECONOMY",Inputs!$B$11,B12)))</f>
        <v>anthropic/claude-opus-5.5</v>
      </c>
      <c r="D12" s="12" t="s">
        <v>102</v>
      </c>
      <c r="E12" s="12" t="str">
        <f aca="false">IF(B12="PREMIUM",Inputs!$B$12&amp;" (high)",IF(B12="WORKHORSE",Inputs!$B$13,IF(B12="ECONOMY",Inputs!$B$14,"")))</f>
        <v>google/gemini-3.8-flash (high)</v>
      </c>
      <c r="F12" s="31" t="s">
        <v>836</v>
      </c>
      <c r="G12" s="13" t="n">
        <f aca="false">'Unit Costs'!$AB$20</f>
        <v>0.04822555021875</v>
      </c>
    </row>
    <row r="13" customFormat="false" ht="15" hidden="false" customHeight="false" outlineLevel="0" collapsed="false">
      <c r="A13" s="7" t="s">
        <v>837</v>
      </c>
      <c r="B13" s="12" t="s">
        <v>106</v>
      </c>
      <c r="C13" s="12" t="str">
        <f aca="false">IF(B13="PREMIUM",Inputs!$B$9,IF(B13="WORKHORSE",Inputs!$B$10,IF(B13="ECONOMY",Inputs!$B$11,B13)))</f>
        <v>google/gemini-3.8-flash</v>
      </c>
      <c r="D13" s="12" t="s">
        <v>103</v>
      </c>
      <c r="E13" s="12" t="str">
        <f aca="false">IF(B13="PREMIUM",Inputs!$B$12&amp;" (high)",IF(B13="WORKHORSE",Inputs!$B$13,IF(B13="ECONOMY",Inputs!$B$14,"")))</f>
        <v>openai/gpt-5.6-terra</v>
      </c>
      <c r="F13" s="31"/>
      <c r="G13" s="60"/>
    </row>
    <row r="14" customFormat="false" ht="15" hidden="false" customHeight="false" outlineLevel="0" collapsed="false">
      <c r="A14" s="7" t="s">
        <v>738</v>
      </c>
      <c r="B14" s="12" t="s">
        <v>106</v>
      </c>
      <c r="C14" s="12" t="str">
        <f aca="false">IF(B14="PREMIUM",Inputs!$B$9,IF(B14="WORKHORSE",Inputs!$B$10,IF(B14="ECONOMY",Inputs!$B$11,B14)))</f>
        <v>google/gemini-3.8-flash</v>
      </c>
      <c r="D14" s="12" t="s">
        <v>102</v>
      </c>
      <c r="E14" s="12" t="str">
        <f aca="false">IF(B14="PREMIUM",Inputs!$B$12&amp;" (high)",IF(B14="WORKHORSE",Inputs!$B$13,IF(B14="ECONOMY",Inputs!$B$14,"")))</f>
        <v>openai/gpt-5.6-terra</v>
      </c>
      <c r="F14" s="31" t="s">
        <v>838</v>
      </c>
      <c r="G14" s="13" t="n">
        <f aca="false">'Unit Costs'!$AB$21</f>
        <v>0.00462010875</v>
      </c>
    </row>
    <row r="15" customFormat="false" ht="15" hidden="false" customHeight="false" outlineLevel="0" collapsed="false">
      <c r="A15" s="7" t="s">
        <v>690</v>
      </c>
      <c r="B15" s="12" t="s">
        <v>107</v>
      </c>
      <c r="C15" s="12" t="str">
        <f aca="false">IF(B15="PREMIUM",Inputs!$B$9,IF(B15="WORKHORSE",Inputs!$B$10,IF(B15="ECONOMY",Inputs!$B$11,B15)))</f>
        <v>google/gemini-3.1-flash-lite</v>
      </c>
      <c r="D15" s="12" t="s">
        <v>102</v>
      </c>
      <c r="E15" s="12" t="str">
        <f aca="false">IF(B15="PREMIUM",Inputs!$B$12&amp;" (high)",IF(B15="WORKHORSE",Inputs!$B$13,IF(B15="ECONOMY",Inputs!$B$14,"")))</f>
        <v>openai/gpt-5.6-luna</v>
      </c>
      <c r="F15" s="31"/>
      <c r="G15" s="13" t="n">
        <f aca="false">'Unit Costs'!$AB$6</f>
        <v>0.002831409</v>
      </c>
    </row>
    <row r="16" customFormat="false" ht="15" hidden="false" customHeight="false" outlineLevel="0" collapsed="false">
      <c r="A16" s="7" t="s">
        <v>839</v>
      </c>
      <c r="B16" s="12" t="s">
        <v>106</v>
      </c>
      <c r="C16" s="12" t="str">
        <f aca="false">IF(B16="PREMIUM",Inputs!$B$9,IF(B16="WORKHORSE",Inputs!$B$10,IF(B16="ECONOMY",Inputs!$B$11,B16)))</f>
        <v>google/gemini-3.8-flash</v>
      </c>
      <c r="D16" s="12" t="s">
        <v>103</v>
      </c>
      <c r="E16" s="12" t="str">
        <f aca="false">IF(B16="PREMIUM",Inputs!$B$12&amp;" (high)",IF(B16="WORKHORSE",Inputs!$B$13,IF(B16="ECONOMY",Inputs!$B$14,"")))</f>
        <v>openai/gpt-5.6-terra</v>
      </c>
      <c r="F16" s="31"/>
      <c r="G16" s="13" t="n">
        <f aca="false">'Unit Costs'!$AB$36</f>
        <v>0.01893382125</v>
      </c>
    </row>
    <row r="17" customFormat="false" ht="15" hidden="false" customHeight="false" outlineLevel="0" collapsed="false">
      <c r="A17" s="7" t="s">
        <v>840</v>
      </c>
      <c r="B17" s="12" t="s">
        <v>106</v>
      </c>
      <c r="C17" s="12" t="str">
        <f aca="false">IF(B17="PREMIUM",Inputs!$B$9,IF(B17="WORKHORSE",Inputs!$B$10,IF(B17="ECONOMY",Inputs!$B$11,B17)))</f>
        <v>google/gemini-3.8-flash</v>
      </c>
      <c r="D17" s="12" t="s">
        <v>103</v>
      </c>
      <c r="E17" s="12" t="str">
        <f aca="false">IF(B17="PREMIUM",Inputs!$B$12&amp;" (high)",IF(B17="WORKHORSE",Inputs!$B$13,IF(B17="ECONOMY",Inputs!$B$14,"")))</f>
        <v>openai/gpt-5.6-terra</v>
      </c>
      <c r="F17" s="31" t="s">
        <v>841</v>
      </c>
      <c r="G17" s="60"/>
    </row>
    <row r="18" customFormat="false" ht="15" hidden="false" customHeight="false" outlineLevel="0" collapsed="false">
      <c r="A18" s="7" t="s">
        <v>759</v>
      </c>
      <c r="B18" s="12" t="s">
        <v>105</v>
      </c>
      <c r="C18" s="12" t="str">
        <f aca="false">IF(B18="PREMIUM",Inputs!$B$9,IF(B18="WORKHORSE",Inputs!$B$10,IF(B18="ECONOMY",Inputs!$B$11,B18)))</f>
        <v>anthropic/claude-opus-5.5</v>
      </c>
      <c r="D18" s="12" t="s">
        <v>103</v>
      </c>
      <c r="E18" s="12" t="str">
        <f aca="false">IF(B18="PREMIUM",Inputs!$B$12&amp;" (high)",IF(B18="WORKHORSE",Inputs!$B$13,IF(B18="ECONOMY",Inputs!$B$14,"")))</f>
        <v>google/gemini-3.8-flash (high)</v>
      </c>
      <c r="F18" s="31" t="s">
        <v>842</v>
      </c>
      <c r="G18" s="13" t="n">
        <f aca="false">'Unit Costs'!$AB$31</f>
        <v>0.193155572125</v>
      </c>
    </row>
    <row r="19" customFormat="false" ht="15" hidden="false" customHeight="false" outlineLevel="0" collapsed="false">
      <c r="A19" s="7" t="s">
        <v>686</v>
      </c>
      <c r="B19" s="12" t="s">
        <v>106</v>
      </c>
      <c r="C19" s="12" t="str">
        <f aca="false">IF(B19="PREMIUM",Inputs!$B$9,IF(B19="WORKHORSE",Inputs!$B$10,IF(B19="ECONOMY",Inputs!$B$11,B19)))</f>
        <v>google/gemini-3.8-flash</v>
      </c>
      <c r="D19" s="12" t="s">
        <v>102</v>
      </c>
      <c r="E19" s="12" t="str">
        <f aca="false">IF(B19="PREMIUM",Inputs!$B$12&amp;" (high)",IF(B19="WORKHORSE",Inputs!$B$13,IF(B19="ECONOMY",Inputs!$B$14,"")))</f>
        <v>openai/gpt-5.6-terra</v>
      </c>
      <c r="F19" s="31"/>
      <c r="G19" s="13" t="n">
        <f aca="false">'Unit Costs'!$AB$5</f>
        <v>0.00546358125</v>
      </c>
    </row>
    <row r="20" customFormat="false" ht="15" hidden="false" customHeight="false" outlineLevel="0" collapsed="false">
      <c r="A20" s="7" t="s">
        <v>764</v>
      </c>
      <c r="B20" s="12" t="s">
        <v>106</v>
      </c>
      <c r="C20" s="12" t="str">
        <f aca="false">IF(B20="PREMIUM",Inputs!$B$9,IF(B20="WORKHORSE",Inputs!$B$10,IF(B20="ECONOMY",Inputs!$B$11,B20)))</f>
        <v>google/gemini-3.8-flash</v>
      </c>
      <c r="D20" s="12" t="s">
        <v>102</v>
      </c>
      <c r="E20" s="12" t="str">
        <f aca="false">IF(B20="PREMIUM",Inputs!$B$12&amp;" (high)",IF(B20="WORKHORSE",Inputs!$B$13,IF(B20="ECONOMY",Inputs!$B$14,"")))</f>
        <v>openai/gpt-5.6-terra</v>
      </c>
      <c r="F20" s="31" t="s">
        <v>843</v>
      </c>
      <c r="G20" s="13" t="n">
        <f aca="false">'Unit Costs'!$AB$35</f>
        <v>0.0142820625</v>
      </c>
    </row>
    <row r="21" customFormat="false" ht="15" hidden="false" customHeight="false" outlineLevel="0" collapsed="false">
      <c r="A21" s="7" t="s">
        <v>844</v>
      </c>
      <c r="B21" s="12" t="s">
        <v>106</v>
      </c>
      <c r="C21" s="12" t="str">
        <f aca="false">IF(B21="PREMIUM",Inputs!$B$9,IF(B21="WORKHORSE",Inputs!$B$10,IF(B21="ECONOMY",Inputs!$B$11,B21)))</f>
        <v>google/gemini-3.8-flash</v>
      </c>
      <c r="D21" s="12" t="s">
        <v>845</v>
      </c>
      <c r="E21" s="12" t="str">
        <f aca="false">IF(B21="PREMIUM",Inputs!$B$12&amp;" (high)",IF(B21="WORKHORSE",Inputs!$B$13,IF(B21="ECONOMY",Inputs!$B$14,"")))</f>
        <v>openai/gpt-5.6-terra</v>
      </c>
      <c r="F21" s="31"/>
      <c r="G21" s="60"/>
    </row>
    <row r="22" customFormat="false" ht="15" hidden="false" customHeight="false" outlineLevel="0" collapsed="false">
      <c r="A22" s="7" t="s">
        <v>766</v>
      </c>
      <c r="B22" s="12" t="s">
        <v>105</v>
      </c>
      <c r="C22" s="12" t="str">
        <f aca="false">IF(B22="PREMIUM",Inputs!$B$9,IF(B22="WORKHORSE",Inputs!$B$10,IF(B22="ECONOMY",Inputs!$B$11,B22)))</f>
        <v>anthropic/claude-opus-5.5</v>
      </c>
      <c r="D22" s="12" t="s">
        <v>102</v>
      </c>
      <c r="E22" s="12" t="str">
        <f aca="false">IF(B22="PREMIUM",Inputs!$B$12&amp;" (high)",IF(B22="WORKHORSE",Inputs!$B$13,IF(B22="ECONOMY",Inputs!$B$14,"")))</f>
        <v>google/gemini-3.8-flash (high)</v>
      </c>
      <c r="F22" s="31"/>
      <c r="G22" s="13" t="n">
        <f aca="false">'Unit Costs'!$AB$37</f>
        <v>0.10645081875</v>
      </c>
    </row>
    <row r="23" customFormat="false" ht="15" hidden="false" customHeight="false" outlineLevel="0" collapsed="false">
      <c r="A23" s="7" t="s">
        <v>846</v>
      </c>
      <c r="B23" s="12" t="s">
        <v>106</v>
      </c>
      <c r="C23" s="12" t="str">
        <f aca="false">IF(B23="PREMIUM",Inputs!$B$9,IF(B23="WORKHORSE",Inputs!$B$10,IF(B23="ECONOMY",Inputs!$B$11,B23)))</f>
        <v>google/gemini-3.8-flash</v>
      </c>
      <c r="D23" s="12" t="s">
        <v>103</v>
      </c>
      <c r="E23" s="12" t="str">
        <f aca="false">IF(B23="PREMIUM",Inputs!$B$12&amp;" (high)",IF(B23="WORKHORSE",Inputs!$B$13,IF(B23="ECONOMY",Inputs!$B$14,"")))</f>
        <v>openai/gpt-5.6-terra</v>
      </c>
      <c r="F23" s="31"/>
      <c r="G23" s="60"/>
    </row>
    <row r="24" customFormat="false" ht="15" hidden="false" customHeight="false" outlineLevel="0" collapsed="false">
      <c r="A24" s="7" t="s">
        <v>847</v>
      </c>
      <c r="B24" s="12" t="s">
        <v>105</v>
      </c>
      <c r="C24" s="12" t="str">
        <f aca="false">IF(B24="PREMIUM",Inputs!$B$9,IF(B24="WORKHORSE",Inputs!$B$10,IF(B24="ECONOMY",Inputs!$B$11,B24)))</f>
        <v>anthropic/claude-opus-5.5</v>
      </c>
      <c r="D24" s="12" t="s">
        <v>102</v>
      </c>
      <c r="E24" s="12" t="str">
        <f aca="false">IF(B24="PREMIUM",Inputs!$B$12&amp;" (high)",IF(B24="WORKHORSE",Inputs!$B$13,IF(B24="ECONOMY",Inputs!$B$14,"")))</f>
        <v>google/gemini-3.8-flash (high)</v>
      </c>
      <c r="F24" s="31" t="s">
        <v>848</v>
      </c>
      <c r="G24" s="13" t="n">
        <f aca="false">'Unit Costs'!$AB$38</f>
        <v>0.195909269625</v>
      </c>
    </row>
    <row r="25" customFormat="false" ht="15" hidden="false" customHeight="false" outlineLevel="0" collapsed="false">
      <c r="A25" s="7" t="s">
        <v>849</v>
      </c>
      <c r="B25" s="12" t="s">
        <v>106</v>
      </c>
      <c r="C25" s="12" t="str">
        <f aca="false">IF(B25="PREMIUM",Inputs!$B$9,IF(B25="WORKHORSE",Inputs!$B$10,IF(B25="ECONOMY",Inputs!$B$11,B25)))</f>
        <v>google/gemini-3.8-flash</v>
      </c>
      <c r="D25" s="12" t="s">
        <v>102</v>
      </c>
      <c r="E25" s="12" t="str">
        <f aca="false">IF(B25="PREMIUM",Inputs!$B$12&amp;" (high)",IF(B25="WORKHORSE",Inputs!$B$13,IF(B25="ECONOMY",Inputs!$B$14,"")))</f>
        <v>openai/gpt-5.6-terra</v>
      </c>
      <c r="F25" s="31"/>
      <c r="G25" s="13" t="n">
        <f aca="false">'Unit Costs'!$AB$9</f>
        <v>0.00797500875</v>
      </c>
    </row>
    <row r="26" customFormat="false" ht="15" hidden="false" customHeight="false" outlineLevel="0" collapsed="false">
      <c r="A26" s="7" t="s">
        <v>772</v>
      </c>
      <c r="B26" s="12" t="s">
        <v>105</v>
      </c>
      <c r="C26" s="12" t="str">
        <f aca="false">IF(B26="PREMIUM",Inputs!$B$9,IF(B26="WORKHORSE",Inputs!$B$10,IF(B26="ECONOMY",Inputs!$B$11,B26)))</f>
        <v>anthropic/claude-opus-5.5</v>
      </c>
      <c r="D26" s="12" t="s">
        <v>103</v>
      </c>
      <c r="E26" s="12" t="str">
        <f aca="false">IF(B26="PREMIUM",Inputs!$B$12&amp;" (high)",IF(B26="WORKHORSE",Inputs!$B$13,IF(B26="ECONOMY",Inputs!$B$14,"")))</f>
        <v>google/gemini-3.8-flash (high)</v>
      </c>
      <c r="F26" s="31" t="s">
        <v>850</v>
      </c>
      <c r="G26" s="13" t="n">
        <f aca="false">'Unit Costs'!$AB$40</f>
        <v>0.2434393425</v>
      </c>
    </row>
    <row r="27" customFormat="false" ht="15" hidden="false" customHeight="false" outlineLevel="0" collapsed="false">
      <c r="A27" s="7" t="s">
        <v>782</v>
      </c>
      <c r="B27" s="12" t="s">
        <v>106</v>
      </c>
      <c r="C27" s="12" t="str">
        <f aca="false">IF(B27="PREMIUM",Inputs!$B$9,IF(B27="WORKHORSE",Inputs!$B$10,IF(B27="ECONOMY",Inputs!$B$11,B27)))</f>
        <v>google/gemini-3.8-flash</v>
      </c>
      <c r="D27" s="12" t="s">
        <v>103</v>
      </c>
      <c r="E27" s="12" t="str">
        <f aca="false">IF(B27="PREMIUM",Inputs!$B$12&amp;" (high)",IF(B27="WORKHORSE",Inputs!$B$13,IF(B27="ECONOMY",Inputs!$B$14,"")))</f>
        <v>openai/gpt-5.6-terra</v>
      </c>
      <c r="F27" s="31"/>
      <c r="G27" s="13" t="n">
        <f aca="false">'Unit Costs'!$AB$45</f>
        <v>0.01680615</v>
      </c>
    </row>
    <row r="28" customFormat="false" ht="15" hidden="false" customHeight="false" outlineLevel="0" collapsed="false">
      <c r="A28" s="7" t="s">
        <v>851</v>
      </c>
      <c r="B28" s="12" t="s">
        <v>106</v>
      </c>
      <c r="C28" s="12" t="str">
        <f aca="false">IF(B28="PREMIUM",Inputs!$B$9,IF(B28="WORKHORSE",Inputs!$B$10,IF(B28="ECONOMY",Inputs!$B$11,B28)))</f>
        <v>google/gemini-3.8-flash</v>
      </c>
      <c r="D28" s="12" t="s">
        <v>102</v>
      </c>
      <c r="E28" s="12" t="str">
        <f aca="false">IF(B28="PREMIUM",Inputs!$B$12&amp;" (high)",IF(B28="WORKHORSE",Inputs!$B$13,IF(B28="ECONOMY",Inputs!$B$14,"")))</f>
        <v>openai/gpt-5.6-terra</v>
      </c>
      <c r="F28" s="31"/>
      <c r="G28" s="60"/>
    </row>
    <row r="29" customFormat="false" ht="15" hidden="false" customHeight="false" outlineLevel="0" collapsed="false">
      <c r="A29" s="7" t="s">
        <v>852</v>
      </c>
      <c r="B29" s="12" t="s">
        <v>106</v>
      </c>
      <c r="C29" s="12" t="str">
        <f aca="false">IF(B29="PREMIUM",Inputs!$B$9,IF(B29="WORKHORSE",Inputs!$B$10,IF(B29="ECONOMY",Inputs!$B$11,B29)))</f>
        <v>google/gemini-3.8-flash</v>
      </c>
      <c r="D29" s="12" t="s">
        <v>102</v>
      </c>
      <c r="E29" s="12" t="str">
        <f aca="false">IF(B29="PREMIUM",Inputs!$B$12&amp;" (high)",IF(B29="WORKHORSE",Inputs!$B$13,IF(B29="ECONOMY",Inputs!$B$14,"")))</f>
        <v>openai/gpt-5.6-terra</v>
      </c>
      <c r="F29" s="31" t="s">
        <v>853</v>
      </c>
      <c r="G29" s="13" t="n">
        <f aca="false">'Unit Costs'!$AB$41</f>
        <v>0.05139116375</v>
      </c>
    </row>
    <row r="30" customFormat="false" ht="15" hidden="false" customHeight="false" outlineLevel="0" collapsed="false">
      <c r="A30" s="7" t="s">
        <v>778</v>
      </c>
      <c r="B30" s="12" t="s">
        <v>107</v>
      </c>
      <c r="C30" s="12" t="str">
        <f aca="false">IF(B30="PREMIUM",Inputs!$B$9,IF(B30="WORKHORSE",Inputs!$B$10,IF(B30="ECONOMY",Inputs!$B$11,B30)))</f>
        <v>google/gemini-3.1-flash-lite</v>
      </c>
      <c r="D30" s="12" t="s">
        <v>102</v>
      </c>
      <c r="E30" s="12" t="str">
        <f aca="false">IF(B30="PREMIUM",Inputs!$B$12&amp;" (high)",IF(B30="WORKHORSE",Inputs!$B$13,IF(B30="ECONOMY",Inputs!$B$14,"")))</f>
        <v>openai/gpt-5.6-luna</v>
      </c>
      <c r="F30" s="31" t="s">
        <v>854</v>
      </c>
      <c r="G30" s="13" t="n">
        <f aca="false">'Unit Costs'!$AB$43</f>
        <v>0.0183909676</v>
      </c>
    </row>
    <row r="31" customFormat="false" ht="15" hidden="false" customHeight="false" outlineLevel="0" collapsed="false">
      <c r="A31" s="7" t="s">
        <v>780</v>
      </c>
      <c r="B31" s="12" t="s">
        <v>106</v>
      </c>
      <c r="C31" s="12" t="str">
        <f aca="false">IF(B31="PREMIUM",Inputs!$B$9,IF(B31="WORKHORSE",Inputs!$B$10,IF(B31="ECONOMY",Inputs!$B$11,B31)))</f>
        <v>google/gemini-3.8-flash</v>
      </c>
      <c r="D31" s="12" t="s">
        <v>103</v>
      </c>
      <c r="E31" s="12" t="str">
        <f aca="false">IF(B31="PREMIUM",Inputs!$B$12&amp;" (high)",IF(B31="WORKHORSE",Inputs!$B$13,IF(B31="ECONOMY",Inputs!$B$14,"")))</f>
        <v>openai/gpt-5.6-terra</v>
      </c>
      <c r="F31" s="31"/>
      <c r="G31" s="13" t="n">
        <f aca="false">'Unit Costs'!$AB$44</f>
        <v>0.0567688275</v>
      </c>
    </row>
    <row r="32" customFormat="false" ht="15" hidden="false" customHeight="false" outlineLevel="0" collapsed="false">
      <c r="A32" s="7" t="s">
        <v>788</v>
      </c>
      <c r="B32" s="12" t="s">
        <v>855</v>
      </c>
      <c r="C32" s="12" t="str">
        <f aca="false">IF(B32="PREMIUM",Inputs!$B$9,IF(B32="WORKHORSE",Inputs!$B$10,IF(B32="ECONOMY",Inputs!$B$11,B32)))</f>
        <v>perplexity/sonar + openai/gpt-5.6-luna + google/gemini-3.8-flash</v>
      </c>
      <c r="D32" s="12" t="s">
        <v>856</v>
      </c>
      <c r="E32" s="12" t="str">
        <f aca="false">IF(B32="PREMIUM",Inputs!$B$12&amp;" (high)",IF(B32="WORKHORSE",Inputs!$B$13,IF(B32="ECONOMY",Inputs!$B$14,"")))</f>
        <v/>
      </c>
      <c r="F32" s="31" t="s">
        <v>857</v>
      </c>
      <c r="G32" s="13" t="n">
        <f aca="false">'Unit Costs'!$AB$50</f>
        <v>0.0159173125</v>
      </c>
    </row>
    <row r="33" customFormat="false" ht="15" hidden="false" customHeight="false" outlineLevel="0" collapsed="false">
      <c r="A33" s="7" t="s">
        <v>858</v>
      </c>
      <c r="B33" s="12" t="s">
        <v>105</v>
      </c>
      <c r="C33" s="12" t="str">
        <f aca="false">IF(B33="PREMIUM",Inputs!$B$9,IF(B33="WORKHORSE",Inputs!$B$10,IF(B33="ECONOMY",Inputs!$B$11,B33)))</f>
        <v>anthropic/claude-opus-5.5</v>
      </c>
      <c r="D33" s="12" t="s">
        <v>103</v>
      </c>
      <c r="E33" s="12" t="str">
        <f aca="false">IF(B33="PREMIUM",Inputs!$B$12&amp;" (high)",IF(B33="WORKHORSE",Inputs!$B$13,IF(B33="ECONOMY",Inputs!$B$14,"")))</f>
        <v>google/gemini-3.8-flash (high)</v>
      </c>
      <c r="F33" s="31"/>
      <c r="G33" s="13" t="n">
        <f aca="false">'Unit Costs'!$AB$53</f>
        <v>0.28623442375</v>
      </c>
    </row>
    <row r="34" customFormat="false" ht="15" hidden="false" customHeight="false" outlineLevel="0" collapsed="false">
      <c r="A34" s="7" t="s">
        <v>805</v>
      </c>
      <c r="B34" s="12" t="s">
        <v>106</v>
      </c>
      <c r="C34" s="12" t="str">
        <f aca="false">IF(B34="PREMIUM",Inputs!$B$9,IF(B34="WORKHORSE",Inputs!$B$10,IF(B34="ECONOMY",Inputs!$B$11,B34)))</f>
        <v>google/gemini-3.8-flash</v>
      </c>
      <c r="D34" s="12" t="s">
        <v>103</v>
      </c>
      <c r="E34" s="12" t="str">
        <f aca="false">IF(B34="PREMIUM",Inputs!$B$12&amp;" (high)",IF(B34="WORKHORSE",Inputs!$B$13,IF(B34="ECONOMY",Inputs!$B$14,"")))</f>
        <v>openai/gpt-5.6-terra</v>
      </c>
      <c r="F34" s="31" t="s">
        <v>859</v>
      </c>
      <c r="G34" s="13" t="n">
        <f aca="false">'Unit Costs'!$AB$54</f>
        <v>0.107060529625</v>
      </c>
    </row>
    <row r="35" customFormat="false" ht="15" hidden="false" customHeight="false" outlineLevel="0" collapsed="false">
      <c r="A35" s="7" t="s">
        <v>860</v>
      </c>
      <c r="B35" s="12" t="s">
        <v>105</v>
      </c>
      <c r="C35" s="12" t="str">
        <f aca="false">IF(B35="PREMIUM",Inputs!$B$9,IF(B35="WORKHORSE",Inputs!$B$10,IF(B35="ECONOMY",Inputs!$B$11,B35)))</f>
        <v>anthropic/claude-opus-5.5</v>
      </c>
      <c r="D35" s="12" t="s">
        <v>861</v>
      </c>
      <c r="E35" s="12" t="str">
        <f aca="false">IF(B35="PREMIUM",Inputs!$B$12&amp;" (high)",IF(B35="WORKHORSE",Inputs!$B$13,IF(B35="ECONOMY",Inputs!$B$14,"")))</f>
        <v>google/gemini-3.8-flash (high)</v>
      </c>
      <c r="F35" s="31" t="s">
        <v>862</v>
      </c>
      <c r="G35" s="13" t="n">
        <f aca="false">'Unit Costs'!$AB$55</f>
        <v>1.6</v>
      </c>
    </row>
    <row r="36" customFormat="false" ht="15" hidden="false" customHeight="false" outlineLevel="0" collapsed="false">
      <c r="A36" s="7" t="s">
        <v>863</v>
      </c>
      <c r="B36" s="12" t="s">
        <v>105</v>
      </c>
      <c r="C36" s="12" t="str">
        <f aca="false">IF(B36="PREMIUM",Inputs!$B$9,IF(B36="WORKHORSE",Inputs!$B$10,IF(B36="ECONOMY",Inputs!$B$11,B36)))</f>
        <v>anthropic/claude-opus-5.5</v>
      </c>
      <c r="D36" s="12" t="s">
        <v>102</v>
      </c>
      <c r="E36" s="12" t="str">
        <f aca="false">IF(B36="PREMIUM",Inputs!$B$12&amp;" (high)",IF(B36="WORKHORSE",Inputs!$B$13,IF(B36="ECONOMY",Inputs!$B$14,"")))</f>
        <v>google/gemini-3.8-flash (high)</v>
      </c>
      <c r="F36" s="31"/>
      <c r="G36" s="13" t="n">
        <f aca="false">'Unit Costs'!$AB$56</f>
        <v>0.1436208425</v>
      </c>
    </row>
    <row r="37" customFormat="false" ht="15" hidden="false" customHeight="false" outlineLevel="0" collapsed="false">
      <c r="A37" s="7" t="s">
        <v>708</v>
      </c>
      <c r="B37" s="12" t="s">
        <v>106</v>
      </c>
      <c r="C37" s="12" t="str">
        <f aca="false">IF(B37="PREMIUM",Inputs!$B$9,IF(B37="WORKHORSE",Inputs!$B$10,IF(B37="ECONOMY",Inputs!$B$11,B37)))</f>
        <v>google/gemini-3.8-flash</v>
      </c>
      <c r="D37" s="12" t="s">
        <v>103</v>
      </c>
      <c r="E37" s="12" t="str">
        <f aca="false">IF(B37="PREMIUM",Inputs!$B$12&amp;" (high)",IF(B37="WORKHORSE",Inputs!$B$13,IF(B37="ECONOMY",Inputs!$B$14,"")))</f>
        <v>openai/gpt-5.6-terra</v>
      </c>
      <c r="F37" s="31"/>
      <c r="G37" s="13" t="n">
        <f aca="false">'Unit Costs'!$AB$11</f>
        <v>0.041971065</v>
      </c>
    </row>
    <row r="38" customFormat="false" ht="15" hidden="false" customHeight="false" outlineLevel="0" collapsed="false">
      <c r="A38" s="7" t="s">
        <v>864</v>
      </c>
      <c r="B38" s="12" t="s">
        <v>107</v>
      </c>
      <c r="C38" s="12" t="str">
        <f aca="false">IF(B38="PREMIUM",Inputs!$B$9,IF(B38="WORKHORSE",Inputs!$B$10,IF(B38="ECONOMY",Inputs!$B$11,B38)))</f>
        <v>google/gemini-3.1-flash-lite</v>
      </c>
      <c r="D38" s="12" t="s">
        <v>102</v>
      </c>
      <c r="E38" s="12" t="str">
        <f aca="false">IF(B38="PREMIUM",Inputs!$B$12&amp;" (high)",IF(B38="WORKHORSE",Inputs!$B$13,IF(B38="ECONOMY",Inputs!$B$14,"")))</f>
        <v>openai/gpt-5.6-luna</v>
      </c>
      <c r="F38" s="31" t="s">
        <v>865</v>
      </c>
      <c r="G38" s="13" t="n">
        <f aca="false">'Unit Costs'!$AB$58</f>
        <v>0.03008569875</v>
      </c>
    </row>
    <row r="39" customFormat="false" ht="15" hidden="false" customHeight="false" outlineLevel="0" collapsed="false">
      <c r="A39" s="7" t="s">
        <v>714</v>
      </c>
      <c r="B39" s="12" t="s">
        <v>106</v>
      </c>
      <c r="C39" s="12" t="str">
        <f aca="false">IF(B39="PREMIUM",Inputs!$B$9,IF(B39="WORKHORSE",Inputs!$B$10,IF(B39="ECONOMY",Inputs!$B$11,B39)))</f>
        <v>google/gemini-3.8-flash</v>
      </c>
      <c r="D39" s="12" t="s">
        <v>102</v>
      </c>
      <c r="E39" s="12" t="str">
        <f aca="false">IF(B39="PREMIUM",Inputs!$B$12&amp;" (high)",IF(B39="WORKHORSE",Inputs!$B$13,IF(B39="ECONOMY",Inputs!$B$14,"")))</f>
        <v>openai/gpt-5.6-terra</v>
      </c>
      <c r="F39" s="31"/>
      <c r="G39" s="13" t="n">
        <f aca="false">'Unit Costs'!$AB$13</f>
        <v>0.00963663375</v>
      </c>
    </row>
    <row r="40" customFormat="false" ht="15" hidden="false" customHeight="false" outlineLevel="0" collapsed="false">
      <c r="A40" s="7" t="s">
        <v>866</v>
      </c>
      <c r="B40" s="12" t="s">
        <v>106</v>
      </c>
      <c r="C40" s="12" t="str">
        <f aca="false">IF(B40="PREMIUM",Inputs!$B$9,IF(B40="WORKHORSE",Inputs!$B$10,IF(B40="ECONOMY",Inputs!$B$11,B40)))</f>
        <v>google/gemini-3.8-flash</v>
      </c>
      <c r="D40" s="12" t="s">
        <v>867</v>
      </c>
      <c r="E40" s="12" t="str">
        <f aca="false">IF(B40="PREMIUM",Inputs!$B$12&amp;" (high)",IF(B40="WORKHORSE",Inputs!$B$13,IF(B40="ECONOMY",Inputs!$B$14,"")))</f>
        <v>openai/gpt-5.6-terra</v>
      </c>
      <c r="F40" s="31"/>
      <c r="G40" s="13" t="n">
        <f aca="false">'Unit Costs'!$AB$57</f>
        <v>0.0512745825</v>
      </c>
    </row>
    <row r="41" customFormat="false" ht="15" hidden="false" customHeight="false" outlineLevel="0" collapsed="false">
      <c r="A41" s="7" t="s">
        <v>694</v>
      </c>
      <c r="B41" s="12" t="s">
        <v>107</v>
      </c>
      <c r="C41" s="12" t="str">
        <f aca="false">IF(B41="PREMIUM",Inputs!$B$9,IF(B41="WORKHORSE",Inputs!$B$10,IF(B41="ECONOMY",Inputs!$B$11,B41)))</f>
        <v>google/gemini-3.1-flash-lite</v>
      </c>
      <c r="D41" s="12" t="s">
        <v>102</v>
      </c>
      <c r="E41" s="12" t="str">
        <f aca="false">IF(B41="PREMIUM",Inputs!$B$12&amp;" (high)",IF(B41="WORKHORSE",Inputs!$B$13,IF(B41="ECONOMY",Inputs!$B$14,"")))</f>
        <v>openai/gpt-5.6-luna</v>
      </c>
      <c r="F41" s="31"/>
      <c r="G41" s="13" t="n">
        <f aca="false">'Unit Costs'!$AB$7</f>
        <v>0.00086515275</v>
      </c>
    </row>
    <row r="42" customFormat="false" ht="15" hidden="false" customHeight="false" outlineLevel="0" collapsed="false">
      <c r="A42" s="7" t="s">
        <v>868</v>
      </c>
      <c r="B42" s="12" t="s">
        <v>869</v>
      </c>
      <c r="C42" s="12" t="str">
        <f aca="false">IF(B42="PREMIUM",Inputs!$B$9,IF(B42="WORKHORSE",Inputs!$B$10,IF(B42="ECONOMY",Inputs!$B$11,B42)))</f>
        <v>openai/gpt-image-2.5-flare / sunburst</v>
      </c>
      <c r="D42" s="12" t="s">
        <v>226</v>
      </c>
      <c r="E42" s="12" t="str">
        <f aca="false">IF(B42="PREMIUM",Inputs!$B$12&amp;" (high)",IF(B42="WORKHORSE",Inputs!$B$13,IF(B42="ECONOMY",Inputs!$B$14,"")))</f>
        <v/>
      </c>
      <c r="F42" s="31" t="s">
        <v>870</v>
      </c>
      <c r="G42" s="13" t="n">
        <f aca="false">'Unit Costs'!$AB$16</f>
        <v>0.036783698575</v>
      </c>
    </row>
    <row r="43" customFormat="false" ht="15" hidden="false" customHeight="false" outlineLevel="0" collapsed="false">
      <c r="A43" s="7" t="s">
        <v>871</v>
      </c>
      <c r="B43" s="12" t="s">
        <v>872</v>
      </c>
      <c r="C43" s="12" t="str">
        <f aca="false">IF(B43="PREMIUM",Inputs!$B$9,IF(B43="WORKHORSE",Inputs!$B$10,IF(B43="ECONOMY",Inputs!$B$11,B43)))</f>
        <v>KIE (Veo 3.1 Fast / Lite, Grok Imagine)</v>
      </c>
      <c r="D43" s="12" t="s">
        <v>226</v>
      </c>
      <c r="E43" s="12" t="str">
        <f aca="false">IF(B43="PREMIUM",Inputs!$B$12&amp;" (high)",IF(B43="WORKHORSE",Inputs!$B$13,IF(B43="ECONOMY",Inputs!$B$14,"")))</f>
        <v/>
      </c>
      <c r="F43" s="31" t="s">
        <v>873</v>
      </c>
      <c r="G43" s="60"/>
    </row>
    <row r="44" customFormat="false" ht="15" hidden="false" customHeight="false" outlineLevel="0" collapsed="false">
      <c r="A44" s="7" t="s">
        <v>874</v>
      </c>
      <c r="B44" s="12" t="s">
        <v>875</v>
      </c>
      <c r="C44" s="12" t="str">
        <f aca="false">IF(B44="PREMIUM",Inputs!$B$9,IF(B44="WORKHORSE",Inputs!$B$10,IF(B44="ECONOMY",Inputs!$B$11,B44)))</f>
        <v>OpenRouter (Hailuo 3, Seedance 2.0 Fast)</v>
      </c>
      <c r="D44" s="12" t="s">
        <v>226</v>
      </c>
      <c r="E44" s="12" t="str">
        <f aca="false">IF(B44="PREMIUM",Inputs!$B$12&amp;" (high)",IF(B44="WORKHORSE",Inputs!$B$13,IF(B44="ECONOMY",Inputs!$B$14,"")))</f>
        <v/>
      </c>
      <c r="F44" s="31" t="s">
        <v>876</v>
      </c>
      <c r="G44" s="6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26"/>
    <col collapsed="false" customWidth="true" hidden="false" outlineLevel="0" max="4" min="4" style="0" width="50"/>
    <col collapsed="false" customWidth="true" hidden="false" outlineLevel="0" max="5" min="5" style="0" width="14"/>
    <col collapsed="false" customWidth="true" hidden="false" outlineLevel="0" max="6" min="6" style="0" width="10"/>
    <col collapsed="false" customWidth="true" hidden="false" outlineLevel="0" max="7" min="7" style="0" width="13"/>
    <col collapsed="false" customWidth="true" hidden="false" outlineLevel="0" max="9" min="8" style="0" width="11"/>
    <col collapsed="false" customWidth="true" hidden="false" outlineLevel="0" max="10" min="10" style="0" width="7"/>
    <col collapsed="false" customWidth="true" hidden="false" outlineLevel="0" max="11" min="11" style="0" width="46"/>
    <col collapsed="false" customWidth="true" hidden="false" outlineLevel="0" max="12" min="12" style="0" width="50"/>
  </cols>
  <sheetData>
    <row r="1" customFormat="false" ht="17.35" hidden="false" customHeight="false" outlineLevel="0" collapsed="false">
      <c r="A1" s="1" t="s">
        <v>877</v>
      </c>
      <c r="B1" s="2"/>
      <c r="C1" s="2"/>
      <c r="D1" s="2"/>
      <c r="E1" s="2"/>
      <c r="F1" s="2"/>
      <c r="G1" s="2"/>
      <c r="H1" s="2"/>
      <c r="I1" s="2"/>
      <c r="J1" s="2"/>
      <c r="K1" s="2"/>
      <c r="L1" s="2"/>
    </row>
    <row r="2" customFormat="false" ht="15" hidden="false" customHeight="false" outlineLevel="0" collapsed="false">
      <c r="A2" s="3" t="s">
        <v>878</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30" hidden="false" customHeight="true" outlineLevel="0" collapsed="false">
      <c r="A4" s="6" t="s">
        <v>879</v>
      </c>
      <c r="B4" s="6" t="s">
        <v>880</v>
      </c>
      <c r="C4" s="6" t="s">
        <v>881</v>
      </c>
      <c r="D4" s="6" t="s">
        <v>882</v>
      </c>
      <c r="E4" s="6" t="s">
        <v>112</v>
      </c>
      <c r="F4" s="6" t="s">
        <v>883</v>
      </c>
      <c r="G4" s="6" t="s">
        <v>884</v>
      </c>
      <c r="H4" s="6" t="s">
        <v>885</v>
      </c>
      <c r="I4" s="6" t="s">
        <v>886</v>
      </c>
      <c r="J4" s="6" t="s">
        <v>887</v>
      </c>
      <c r="K4" s="6" t="s">
        <v>888</v>
      </c>
      <c r="L4" s="6" t="s">
        <v>889</v>
      </c>
    </row>
    <row r="5" customFormat="false" ht="23.85" hidden="false" customHeight="false" outlineLevel="0" collapsed="false">
      <c r="A5" s="7" t="s">
        <v>51</v>
      </c>
      <c r="B5" s="12" t="s">
        <v>890</v>
      </c>
      <c r="C5" s="12" t="s">
        <v>891</v>
      </c>
      <c r="D5" s="17" t="s">
        <v>892</v>
      </c>
      <c r="E5" s="12" t="s">
        <v>893</v>
      </c>
      <c r="F5" s="60"/>
      <c r="G5" s="64" t="n">
        <v>4</v>
      </c>
      <c r="H5" s="64" t="n">
        <v>20</v>
      </c>
      <c r="I5" s="63" t="n">
        <v>0.2</v>
      </c>
      <c r="J5" s="26" t="n">
        <v>1</v>
      </c>
      <c r="K5" s="17" t="s">
        <v>894</v>
      </c>
      <c r="L5" s="12" t="s">
        <v>895</v>
      </c>
    </row>
    <row r="6" customFormat="false" ht="23.85" hidden="false" customHeight="false" outlineLevel="0" collapsed="false">
      <c r="A6" s="7" t="s">
        <v>54</v>
      </c>
      <c r="B6" s="12" t="s">
        <v>890</v>
      </c>
      <c r="C6" s="12" t="s">
        <v>896</v>
      </c>
      <c r="D6" s="17" t="s">
        <v>897</v>
      </c>
      <c r="E6" s="12" t="s">
        <v>893</v>
      </c>
      <c r="F6" s="60"/>
      <c r="G6" s="63" t="n">
        <v>0.75</v>
      </c>
      <c r="H6" s="64" t="n">
        <v>3.75</v>
      </c>
      <c r="I6" s="63" t="n">
        <v>0.1875</v>
      </c>
      <c r="J6" s="26" t="n">
        <v>1</v>
      </c>
      <c r="K6" s="17" t="s">
        <v>898</v>
      </c>
      <c r="L6" s="12" t="s">
        <v>899</v>
      </c>
    </row>
    <row r="7" customFormat="false" ht="23.85" hidden="false" customHeight="false" outlineLevel="0" collapsed="false">
      <c r="A7" s="7" t="s">
        <v>57</v>
      </c>
      <c r="B7" s="12" t="s">
        <v>890</v>
      </c>
      <c r="C7" s="12" t="s">
        <v>896</v>
      </c>
      <c r="D7" s="17" t="s">
        <v>900</v>
      </c>
      <c r="E7" s="12" t="s">
        <v>893</v>
      </c>
      <c r="F7" s="60"/>
      <c r="G7" s="63" t="n">
        <v>0.25</v>
      </c>
      <c r="H7" s="64" t="n">
        <v>1.5</v>
      </c>
      <c r="I7" s="63" t="n">
        <v>0.0625</v>
      </c>
      <c r="J7" s="26" t="n">
        <v>1</v>
      </c>
      <c r="K7" s="17" t="s">
        <v>901</v>
      </c>
      <c r="L7" s="12" t="s">
        <v>902</v>
      </c>
    </row>
    <row r="8" customFormat="false" ht="15" hidden="false" customHeight="false" outlineLevel="0" collapsed="false">
      <c r="A8" s="7" t="s">
        <v>62</v>
      </c>
      <c r="B8" s="12" t="s">
        <v>890</v>
      </c>
      <c r="C8" s="12" t="s">
        <v>903</v>
      </c>
      <c r="D8" s="17" t="s">
        <v>61</v>
      </c>
      <c r="E8" s="12" t="s">
        <v>893</v>
      </c>
      <c r="F8" s="60"/>
      <c r="G8" s="64" t="n">
        <v>2</v>
      </c>
      <c r="H8" s="64" t="n">
        <v>12</v>
      </c>
      <c r="I8" s="63" t="n">
        <v>0.2</v>
      </c>
      <c r="J8" s="26" t="n">
        <v>1</v>
      </c>
      <c r="K8" s="17" t="s">
        <v>904</v>
      </c>
      <c r="L8" s="12" t="s">
        <v>905</v>
      </c>
    </row>
    <row r="9" customFormat="false" ht="15" hidden="false" customHeight="false" outlineLevel="0" collapsed="false">
      <c r="A9" s="7" t="s">
        <v>64</v>
      </c>
      <c r="B9" s="12" t="s">
        <v>890</v>
      </c>
      <c r="C9" s="12" t="s">
        <v>903</v>
      </c>
      <c r="D9" s="17" t="s">
        <v>906</v>
      </c>
      <c r="E9" s="12" t="s">
        <v>893</v>
      </c>
      <c r="F9" s="60"/>
      <c r="G9" s="63" t="n">
        <v>0.2</v>
      </c>
      <c r="H9" s="64" t="n">
        <v>1.2</v>
      </c>
      <c r="I9" s="63" t="n">
        <v>0.05</v>
      </c>
      <c r="J9" s="26" t="n">
        <v>1</v>
      </c>
      <c r="K9" s="17" t="s">
        <v>907</v>
      </c>
      <c r="L9" s="12" t="s">
        <v>908</v>
      </c>
    </row>
    <row r="10" customFormat="false" ht="15" hidden="false" customHeight="false" outlineLevel="0" collapsed="false">
      <c r="A10" s="7" t="s">
        <v>789</v>
      </c>
      <c r="B10" s="12" t="s">
        <v>890</v>
      </c>
      <c r="C10" s="12" t="s">
        <v>909</v>
      </c>
      <c r="D10" s="17" t="s">
        <v>910</v>
      </c>
      <c r="E10" s="12" t="s">
        <v>893</v>
      </c>
      <c r="F10" s="60"/>
      <c r="G10" s="64" t="n">
        <v>1</v>
      </c>
      <c r="H10" s="64" t="n">
        <v>1</v>
      </c>
      <c r="I10" s="60"/>
      <c r="J10" s="26" t="n">
        <v>1</v>
      </c>
      <c r="K10" s="17" t="s">
        <v>911</v>
      </c>
      <c r="L10" s="12" t="s">
        <v>912</v>
      </c>
    </row>
    <row r="11" customFormat="false" ht="15" hidden="false" customHeight="false" outlineLevel="0" collapsed="false">
      <c r="A11" s="7" t="s">
        <v>790</v>
      </c>
      <c r="B11" s="12" t="s">
        <v>913</v>
      </c>
      <c r="C11" s="12" t="s">
        <v>914</v>
      </c>
      <c r="D11" s="17" t="s">
        <v>915</v>
      </c>
      <c r="E11" s="12" t="s">
        <v>916</v>
      </c>
      <c r="F11" s="60"/>
      <c r="G11" s="63" t="n">
        <v>0.005</v>
      </c>
      <c r="H11" s="60"/>
      <c r="I11" s="60"/>
      <c r="J11" s="26" t="n">
        <v>1</v>
      </c>
      <c r="K11" s="17" t="s">
        <v>917</v>
      </c>
      <c r="L11" s="12" t="s">
        <v>918</v>
      </c>
    </row>
    <row r="12" customFormat="false" ht="23.85" hidden="false" customHeight="false" outlineLevel="0" collapsed="false">
      <c r="A12" s="7" t="s">
        <v>724</v>
      </c>
      <c r="B12" s="12" t="s">
        <v>721</v>
      </c>
      <c r="C12" s="12" t="s">
        <v>919</v>
      </c>
      <c r="D12" s="17" t="s">
        <v>920</v>
      </c>
      <c r="E12" s="12" t="s">
        <v>921</v>
      </c>
      <c r="F12" s="38" t="n">
        <v>600</v>
      </c>
      <c r="G12" s="27" t="n">
        <f aca="false">(F12*30+1000*8)/1000000</f>
        <v>0.026</v>
      </c>
      <c r="H12" s="60"/>
      <c r="I12" s="60"/>
      <c r="J12" s="26" t="n">
        <v>1</v>
      </c>
      <c r="K12" s="17" t="s">
        <v>922</v>
      </c>
      <c r="L12" s="12" t="s">
        <v>923</v>
      </c>
    </row>
    <row r="13" customFormat="false" ht="23.85" hidden="false" customHeight="false" outlineLevel="0" collapsed="false">
      <c r="A13" s="7" t="s">
        <v>728</v>
      </c>
      <c r="B13" s="12" t="s">
        <v>721</v>
      </c>
      <c r="C13" s="12" t="s">
        <v>924</v>
      </c>
      <c r="D13" s="17" t="s">
        <v>925</v>
      </c>
      <c r="E13" s="12" t="s">
        <v>921</v>
      </c>
      <c r="F13" s="38" t="n">
        <v>1800</v>
      </c>
      <c r="G13" s="27" t="n">
        <f aca="false">(F13*30+1000*8)/1000000</f>
        <v>0.062</v>
      </c>
      <c r="H13" s="60"/>
      <c r="I13" s="60"/>
      <c r="J13" s="26" t="n">
        <v>1</v>
      </c>
      <c r="K13" s="17" t="s">
        <v>926</v>
      </c>
      <c r="L13" s="12" t="s">
        <v>927</v>
      </c>
    </row>
    <row r="14" customFormat="false" ht="23.85" hidden="false" customHeight="false" outlineLevel="0" collapsed="false">
      <c r="A14" s="7" t="s">
        <v>928</v>
      </c>
      <c r="B14" s="12" t="s">
        <v>721</v>
      </c>
      <c r="C14" s="12" t="s">
        <v>929</v>
      </c>
      <c r="D14" s="17" t="s">
        <v>930</v>
      </c>
      <c r="E14" s="12" t="s">
        <v>931</v>
      </c>
      <c r="F14" s="38" t="n">
        <v>1300</v>
      </c>
      <c r="G14" s="27" t="n">
        <f aca="false">F14*8/1000000</f>
        <v>0.0104</v>
      </c>
      <c r="H14" s="60"/>
      <c r="I14" s="60"/>
      <c r="J14" s="26" t="n">
        <v>1</v>
      </c>
      <c r="K14" s="17" t="s">
        <v>932</v>
      </c>
      <c r="L14" s="12" t="s">
        <v>923</v>
      </c>
    </row>
    <row r="15" customFormat="false" ht="15" hidden="false" customHeight="false" outlineLevel="0" collapsed="false">
      <c r="A15" s="7" t="s">
        <v>933</v>
      </c>
      <c r="B15" s="12" t="s">
        <v>934</v>
      </c>
      <c r="C15" s="12" t="s">
        <v>935</v>
      </c>
      <c r="D15" s="17" t="s">
        <v>936</v>
      </c>
      <c r="E15" s="12" t="s">
        <v>937</v>
      </c>
      <c r="F15" s="60"/>
      <c r="G15" s="63" t="n">
        <v>0.1</v>
      </c>
      <c r="H15" s="60"/>
      <c r="I15" s="60"/>
      <c r="J15" s="26" t="n">
        <v>1</v>
      </c>
      <c r="K15" s="17" t="s">
        <v>938</v>
      </c>
      <c r="L15" s="12" t="s">
        <v>939</v>
      </c>
    </row>
    <row r="16" customFormat="false" ht="15" hidden="false" customHeight="false" outlineLevel="0" collapsed="false">
      <c r="A16" s="7" t="s">
        <v>940</v>
      </c>
      <c r="B16" s="12" t="s">
        <v>934</v>
      </c>
      <c r="C16" s="12" t="s">
        <v>935</v>
      </c>
      <c r="D16" s="17" t="s">
        <v>941</v>
      </c>
      <c r="E16" s="12" t="s">
        <v>937</v>
      </c>
      <c r="F16" s="60"/>
      <c r="G16" s="63" t="n">
        <v>0.12</v>
      </c>
      <c r="H16" s="60"/>
      <c r="I16" s="60"/>
      <c r="J16" s="26" t="n">
        <v>1</v>
      </c>
      <c r="K16" s="17" t="s">
        <v>942</v>
      </c>
      <c r="L16" s="12" t="s">
        <v>939</v>
      </c>
    </row>
    <row r="17" customFormat="false" ht="15" hidden="false" customHeight="false" outlineLevel="0" collapsed="false">
      <c r="A17" s="7" t="s">
        <v>943</v>
      </c>
      <c r="B17" s="12" t="s">
        <v>934</v>
      </c>
      <c r="C17" s="12" t="s">
        <v>944</v>
      </c>
      <c r="D17" s="17" t="s">
        <v>945</v>
      </c>
      <c r="E17" s="12" t="s">
        <v>937</v>
      </c>
      <c r="F17" s="60"/>
      <c r="G17" s="63" t="n">
        <v>0.05</v>
      </c>
      <c r="H17" s="60"/>
      <c r="I17" s="60"/>
      <c r="J17" s="26" t="n">
        <v>1</v>
      </c>
      <c r="K17" s="17"/>
      <c r="L17" s="12" t="s">
        <v>939</v>
      </c>
    </row>
    <row r="18" customFormat="false" ht="15" hidden="false" customHeight="false" outlineLevel="0" collapsed="false">
      <c r="A18" s="7" t="s">
        <v>946</v>
      </c>
      <c r="B18" s="12" t="s">
        <v>934</v>
      </c>
      <c r="C18" s="12" t="s">
        <v>944</v>
      </c>
      <c r="D18" s="17" t="s">
        <v>947</v>
      </c>
      <c r="E18" s="12" t="s">
        <v>937</v>
      </c>
      <c r="F18" s="60"/>
      <c r="G18" s="63" t="n">
        <v>0.08</v>
      </c>
      <c r="H18" s="60"/>
      <c r="I18" s="60"/>
      <c r="J18" s="26" t="n">
        <v>1</v>
      </c>
      <c r="K18" s="17"/>
      <c r="L18" s="12" t="s">
        <v>939</v>
      </c>
    </row>
    <row r="19" customFormat="false" ht="15" hidden="false" customHeight="false" outlineLevel="0" collapsed="false">
      <c r="A19" s="7" t="s">
        <v>948</v>
      </c>
      <c r="B19" s="12" t="s">
        <v>934</v>
      </c>
      <c r="C19" s="12" t="s">
        <v>949</v>
      </c>
      <c r="D19" s="17" t="s">
        <v>950</v>
      </c>
      <c r="E19" s="12" t="s">
        <v>937</v>
      </c>
      <c r="F19" s="60"/>
      <c r="G19" s="63" t="n">
        <v>0.13</v>
      </c>
      <c r="H19" s="60"/>
      <c r="I19" s="60"/>
      <c r="J19" s="26" t="n">
        <v>1</v>
      </c>
      <c r="K19" s="17" t="s">
        <v>951</v>
      </c>
      <c r="L19" s="12" t="s">
        <v>939</v>
      </c>
    </row>
    <row r="20" customFormat="false" ht="15" hidden="false" customHeight="false" outlineLevel="0" collapsed="false">
      <c r="A20" s="7" t="s">
        <v>952</v>
      </c>
      <c r="B20" s="12" t="s">
        <v>934</v>
      </c>
      <c r="C20" s="12" t="s">
        <v>949</v>
      </c>
      <c r="D20" s="17" t="s">
        <v>953</v>
      </c>
      <c r="E20" s="12" t="s">
        <v>921</v>
      </c>
      <c r="F20" s="60"/>
      <c r="G20" s="63" t="n">
        <v>0.04</v>
      </c>
      <c r="H20" s="60"/>
      <c r="I20" s="60"/>
      <c r="J20" s="26" t="n">
        <v>1</v>
      </c>
      <c r="K20" s="17"/>
      <c r="L20" s="12" t="s">
        <v>939</v>
      </c>
    </row>
    <row r="21" customFormat="false" ht="15" hidden="false" customHeight="false" outlineLevel="0" collapsed="false">
      <c r="A21" s="7" t="s">
        <v>954</v>
      </c>
      <c r="B21" s="12" t="s">
        <v>934</v>
      </c>
      <c r="C21" s="12" t="s">
        <v>955</v>
      </c>
      <c r="D21" s="17" t="s">
        <v>956</v>
      </c>
      <c r="E21" s="12" t="s">
        <v>937</v>
      </c>
      <c r="F21" s="60"/>
      <c r="G21" s="27" t="n">
        <f aca="false">0.0000042*854*480*24/1024</f>
        <v>0.0403515</v>
      </c>
      <c r="H21" s="60"/>
      <c r="I21" s="60"/>
      <c r="J21" s="26" t="n">
        <v>1</v>
      </c>
      <c r="K21" s="17" t="s">
        <v>957</v>
      </c>
      <c r="L21" s="12" t="s">
        <v>939</v>
      </c>
    </row>
    <row r="22" customFormat="false" ht="15" hidden="false" customHeight="false" outlineLevel="0" collapsed="false">
      <c r="A22" s="7" t="s">
        <v>958</v>
      </c>
      <c r="B22" s="12" t="s">
        <v>934</v>
      </c>
      <c r="C22" s="12" t="s">
        <v>955</v>
      </c>
      <c r="D22" s="17" t="s">
        <v>959</v>
      </c>
      <c r="E22" s="12" t="s">
        <v>937</v>
      </c>
      <c r="F22" s="60"/>
      <c r="G22" s="27" t="n">
        <f aca="false">0.0000042*1280*720*24/1024</f>
        <v>0.09072</v>
      </c>
      <c r="H22" s="60"/>
      <c r="I22" s="60"/>
      <c r="J22" s="26" t="n">
        <v>1</v>
      </c>
      <c r="K22" s="17" t="s">
        <v>960</v>
      </c>
      <c r="L22" s="12" t="s">
        <v>939</v>
      </c>
    </row>
    <row r="23" customFormat="false" ht="15" hidden="false" customHeight="false" outlineLevel="0" collapsed="false">
      <c r="A23" s="7" t="s">
        <v>961</v>
      </c>
      <c r="B23" s="12" t="s">
        <v>934</v>
      </c>
      <c r="C23" s="12" t="s">
        <v>962</v>
      </c>
      <c r="D23" s="17" t="s">
        <v>963</v>
      </c>
      <c r="E23" s="12" t="s">
        <v>937</v>
      </c>
      <c r="F23" s="60"/>
      <c r="G23" s="63" t="n">
        <v>0.08</v>
      </c>
      <c r="H23" s="60"/>
      <c r="I23" s="60"/>
      <c r="J23" s="26" t="n">
        <v>1</v>
      </c>
      <c r="K23" s="17" t="s">
        <v>964</v>
      </c>
      <c r="L23" s="12" t="s">
        <v>939</v>
      </c>
    </row>
    <row r="24" customFormat="false" ht="15" hidden="false" customHeight="false" outlineLevel="0" collapsed="false">
      <c r="A24" s="7" t="s">
        <v>965</v>
      </c>
      <c r="B24" s="12" t="s">
        <v>934</v>
      </c>
      <c r="C24" s="12" t="s">
        <v>962</v>
      </c>
      <c r="D24" s="17" t="s">
        <v>966</v>
      </c>
      <c r="E24" s="12" t="s">
        <v>937</v>
      </c>
      <c r="F24" s="60"/>
      <c r="G24" s="63" t="n">
        <v>0.14</v>
      </c>
      <c r="H24" s="60"/>
      <c r="I24" s="60"/>
      <c r="J24" s="26" t="n">
        <v>1</v>
      </c>
      <c r="K24" s="17" t="s">
        <v>967</v>
      </c>
      <c r="L24" s="12" t="s">
        <v>939</v>
      </c>
    </row>
    <row r="25" customFormat="false" ht="15" hidden="false" customHeight="false" outlineLevel="0" collapsed="false">
      <c r="A25" s="7" t="s">
        <v>968</v>
      </c>
      <c r="B25" s="12" t="s">
        <v>934</v>
      </c>
      <c r="C25" s="12" t="s">
        <v>962</v>
      </c>
      <c r="D25" s="17" t="s">
        <v>969</v>
      </c>
      <c r="E25" s="12" t="s">
        <v>921</v>
      </c>
      <c r="F25" s="60"/>
      <c r="G25" s="63" t="n">
        <v>0.01</v>
      </c>
      <c r="H25" s="60"/>
      <c r="I25" s="60"/>
      <c r="J25" s="26" t="n">
        <v>1</v>
      </c>
      <c r="K25" s="17"/>
      <c r="L25" s="12" t="s">
        <v>939</v>
      </c>
    </row>
    <row r="26" customFormat="false" ht="23.85" hidden="false" customHeight="false" outlineLevel="0" collapsed="false">
      <c r="A26" s="7" t="s">
        <v>970</v>
      </c>
      <c r="B26" s="12" t="s">
        <v>934</v>
      </c>
      <c r="C26" s="12" t="s">
        <v>971</v>
      </c>
      <c r="D26" s="17" t="s">
        <v>972</v>
      </c>
      <c r="E26" s="12" t="s">
        <v>973</v>
      </c>
      <c r="F26" s="60"/>
      <c r="G26" s="63" t="n">
        <v>0.005</v>
      </c>
      <c r="H26" s="60"/>
      <c r="I26" s="60"/>
      <c r="J26" s="26" t="n">
        <v>0</v>
      </c>
      <c r="K26" s="17" t="s">
        <v>974</v>
      </c>
      <c r="L26" s="12" t="s">
        <v>975</v>
      </c>
    </row>
    <row r="27" customFormat="false" ht="15" hidden="false" customHeight="false" outlineLevel="0" collapsed="false">
      <c r="A27" s="7" t="s">
        <v>976</v>
      </c>
      <c r="B27" s="12" t="s">
        <v>934</v>
      </c>
      <c r="C27" s="12" t="s">
        <v>971</v>
      </c>
      <c r="D27" s="17" t="s">
        <v>977</v>
      </c>
      <c r="E27" s="12" t="s">
        <v>978</v>
      </c>
      <c r="F27" s="38" t="n">
        <v>60</v>
      </c>
      <c r="G27" s="27" t="n">
        <f aca="false">F27*$G$26</f>
        <v>0.3</v>
      </c>
      <c r="H27" s="60"/>
      <c r="I27" s="60"/>
      <c r="J27" s="26" t="n">
        <v>0</v>
      </c>
      <c r="K27" s="17" t="s">
        <v>979</v>
      </c>
      <c r="L27" s="12" t="s">
        <v>980</v>
      </c>
    </row>
    <row r="28" customFormat="false" ht="15" hidden="false" customHeight="false" outlineLevel="0" collapsed="false">
      <c r="A28" s="7" t="s">
        <v>981</v>
      </c>
      <c r="B28" s="12" t="s">
        <v>934</v>
      </c>
      <c r="C28" s="12" t="s">
        <v>971</v>
      </c>
      <c r="D28" s="17" t="s">
        <v>982</v>
      </c>
      <c r="E28" s="12" t="s">
        <v>978</v>
      </c>
      <c r="F28" s="38" t="n">
        <v>65</v>
      </c>
      <c r="G28" s="27" t="n">
        <f aca="false">F28*$G$26</f>
        <v>0.325</v>
      </c>
      <c r="H28" s="60"/>
      <c r="I28" s="60"/>
      <c r="J28" s="26" t="n">
        <v>0</v>
      </c>
      <c r="K28" s="17"/>
      <c r="L28" s="12" t="s">
        <v>980</v>
      </c>
    </row>
    <row r="29" customFormat="false" ht="15" hidden="false" customHeight="false" outlineLevel="0" collapsed="false">
      <c r="A29" s="7" t="s">
        <v>983</v>
      </c>
      <c r="B29" s="12" t="s">
        <v>934</v>
      </c>
      <c r="C29" s="12" t="s">
        <v>971</v>
      </c>
      <c r="D29" s="17" t="s">
        <v>984</v>
      </c>
      <c r="E29" s="12" t="s">
        <v>978</v>
      </c>
      <c r="F29" s="38" t="n">
        <v>30</v>
      </c>
      <c r="G29" s="27" t="n">
        <f aca="false">F29*$G$26</f>
        <v>0.15</v>
      </c>
      <c r="H29" s="60"/>
      <c r="I29" s="60"/>
      <c r="J29" s="26" t="n">
        <v>0</v>
      </c>
      <c r="K29" s="17"/>
      <c r="L29" s="12" t="s">
        <v>980</v>
      </c>
    </row>
    <row r="30" customFormat="false" ht="15" hidden="false" customHeight="false" outlineLevel="0" collapsed="false">
      <c r="A30" s="7" t="s">
        <v>985</v>
      </c>
      <c r="B30" s="12" t="s">
        <v>934</v>
      </c>
      <c r="C30" s="12" t="s">
        <v>971</v>
      </c>
      <c r="D30" s="17" t="s">
        <v>986</v>
      </c>
      <c r="E30" s="12" t="s">
        <v>978</v>
      </c>
      <c r="F30" s="38" t="n">
        <v>35</v>
      </c>
      <c r="G30" s="27" t="n">
        <f aca="false">F30*$G$26</f>
        <v>0.175</v>
      </c>
      <c r="H30" s="60"/>
      <c r="I30" s="60"/>
      <c r="J30" s="26" t="n">
        <v>0</v>
      </c>
      <c r="K30" s="17"/>
      <c r="L30" s="12" t="s">
        <v>980</v>
      </c>
    </row>
    <row r="31" customFormat="false" ht="15" hidden="false" customHeight="false" outlineLevel="0" collapsed="false">
      <c r="A31" s="7" t="s">
        <v>987</v>
      </c>
      <c r="B31" s="12" t="s">
        <v>934</v>
      </c>
      <c r="C31" s="12" t="s">
        <v>971</v>
      </c>
      <c r="D31" s="17" t="s">
        <v>988</v>
      </c>
      <c r="E31" s="12" t="s">
        <v>978</v>
      </c>
      <c r="F31" s="38" t="n">
        <v>11.7</v>
      </c>
      <c r="G31" s="27" t="n">
        <f aca="false">F31*$G$26</f>
        <v>0.0585</v>
      </c>
      <c r="H31" s="60"/>
      <c r="I31" s="60"/>
      <c r="J31" s="26" t="n">
        <v>0</v>
      </c>
      <c r="K31" s="17"/>
      <c r="L31" s="12" t="s">
        <v>980</v>
      </c>
    </row>
    <row r="32" customFormat="false" ht="15" hidden="false" customHeight="false" outlineLevel="0" collapsed="false">
      <c r="A32" s="7" t="s">
        <v>989</v>
      </c>
      <c r="B32" s="12" t="s">
        <v>934</v>
      </c>
      <c r="C32" s="12" t="s">
        <v>971</v>
      </c>
      <c r="D32" s="17" t="s">
        <v>990</v>
      </c>
      <c r="E32" s="12" t="s">
        <v>978</v>
      </c>
      <c r="F32" s="38" t="n">
        <v>24.8</v>
      </c>
      <c r="G32" s="27" t="n">
        <f aca="false">F32*$G$26</f>
        <v>0.124</v>
      </c>
      <c r="H32" s="60"/>
      <c r="I32" s="60"/>
      <c r="J32" s="26" t="n">
        <v>0</v>
      </c>
      <c r="K32" s="17"/>
      <c r="L32" s="12" t="s">
        <v>980</v>
      </c>
    </row>
    <row r="33" customFormat="false" ht="15" hidden="false" customHeight="false" outlineLevel="0" collapsed="false">
      <c r="A33" s="7" t="s">
        <v>991</v>
      </c>
      <c r="B33" s="12" t="s">
        <v>934</v>
      </c>
      <c r="C33" s="12" t="s">
        <v>971</v>
      </c>
      <c r="D33" s="17" t="s">
        <v>992</v>
      </c>
      <c r="E33" s="12" t="s">
        <v>978</v>
      </c>
      <c r="F33" s="38" t="n">
        <v>12</v>
      </c>
      <c r="G33" s="27" t="n">
        <f aca="false">F33*$G$26</f>
        <v>0.06</v>
      </c>
      <c r="H33" s="60"/>
      <c r="I33" s="60"/>
      <c r="J33" s="26" t="n">
        <v>0</v>
      </c>
      <c r="K33" s="17"/>
      <c r="L33" s="12" t="s">
        <v>980</v>
      </c>
    </row>
    <row r="34" customFormat="false" ht="15" hidden="false" customHeight="false" outlineLevel="0" collapsed="false">
      <c r="A34" s="7" t="s">
        <v>993</v>
      </c>
      <c r="B34" s="12" t="s">
        <v>934</v>
      </c>
      <c r="C34" s="12" t="s">
        <v>971</v>
      </c>
      <c r="D34" s="17" t="s">
        <v>994</v>
      </c>
      <c r="E34" s="12" t="s">
        <v>978</v>
      </c>
      <c r="F34" s="38" t="n">
        <v>24</v>
      </c>
      <c r="G34" s="27" t="n">
        <f aca="false">F34*$G$26</f>
        <v>0.12</v>
      </c>
      <c r="H34" s="60"/>
      <c r="I34" s="60"/>
      <c r="J34" s="26" t="n">
        <v>0</v>
      </c>
      <c r="K34" s="17"/>
      <c r="L34" s="12" t="s">
        <v>980</v>
      </c>
    </row>
    <row r="35" customFormat="false" ht="23.85" hidden="false" customHeight="false" outlineLevel="0" collapsed="false">
      <c r="A35" s="7" t="s">
        <v>995</v>
      </c>
      <c r="B35" s="12" t="s">
        <v>934</v>
      </c>
      <c r="C35" s="12" t="s">
        <v>971</v>
      </c>
      <c r="D35" s="17" t="s">
        <v>996</v>
      </c>
      <c r="E35" s="12" t="s">
        <v>978</v>
      </c>
      <c r="F35" s="38" t="n">
        <v>20</v>
      </c>
      <c r="G35" s="27" t="n">
        <f aca="false">F35*$G$26</f>
        <v>0.1</v>
      </c>
      <c r="H35" s="60"/>
      <c r="I35" s="60"/>
      <c r="J35" s="26" t="n">
        <v>0</v>
      </c>
      <c r="K35" s="17" t="s">
        <v>997</v>
      </c>
      <c r="L35" s="12" t="s">
        <v>980</v>
      </c>
    </row>
    <row r="36" customFormat="false" ht="15" hidden="false" customHeight="false" outlineLevel="0" collapsed="false">
      <c r="A36" s="7" t="s">
        <v>998</v>
      </c>
      <c r="B36" s="12" t="s">
        <v>934</v>
      </c>
      <c r="C36" s="12" t="s">
        <v>971</v>
      </c>
      <c r="D36" s="17" t="s">
        <v>999</v>
      </c>
      <c r="E36" s="12" t="s">
        <v>978</v>
      </c>
      <c r="F36" s="38" t="n">
        <v>10</v>
      </c>
      <c r="G36" s="27" t="n">
        <f aca="false">F36*$G$26</f>
        <v>0.05</v>
      </c>
      <c r="H36" s="60"/>
      <c r="I36" s="60"/>
      <c r="J36" s="26" t="n">
        <v>0</v>
      </c>
      <c r="K36" s="17" t="s">
        <v>1000</v>
      </c>
      <c r="L36" s="12" t="s">
        <v>1001</v>
      </c>
    </row>
    <row r="37" customFormat="false" ht="15" hidden="false" customHeight="false" outlineLevel="0" collapsed="false">
      <c r="A37" s="7" t="s">
        <v>1002</v>
      </c>
      <c r="B37" s="12" t="s">
        <v>913</v>
      </c>
      <c r="C37" s="12" t="s">
        <v>1003</v>
      </c>
      <c r="D37" s="17" t="s">
        <v>1004</v>
      </c>
      <c r="E37" s="12" t="s">
        <v>973</v>
      </c>
      <c r="F37" s="60"/>
      <c r="G37" s="63" t="n">
        <v>0.008</v>
      </c>
      <c r="H37" s="60"/>
      <c r="I37" s="60"/>
      <c r="J37" s="26" t="n">
        <v>0</v>
      </c>
      <c r="K37" s="17" t="s">
        <v>1005</v>
      </c>
      <c r="L37" s="12" t="s">
        <v>1006</v>
      </c>
    </row>
    <row r="38" customFormat="false" ht="23.85" hidden="false" customHeight="false" outlineLevel="0" collapsed="false">
      <c r="A38" s="7" t="s">
        <v>1007</v>
      </c>
      <c r="B38" s="12" t="s">
        <v>913</v>
      </c>
      <c r="C38" s="12" t="s">
        <v>1008</v>
      </c>
      <c r="D38" s="17" t="s">
        <v>1009</v>
      </c>
      <c r="E38" s="12" t="s">
        <v>916</v>
      </c>
      <c r="F38" s="60"/>
      <c r="G38" s="63" t="n">
        <v>0.007</v>
      </c>
      <c r="H38" s="60"/>
      <c r="I38" s="60"/>
      <c r="J38" s="26" t="n">
        <v>1</v>
      </c>
      <c r="K38" s="17"/>
      <c r="L38" s="12" t="s">
        <v>1010</v>
      </c>
    </row>
    <row r="39" customFormat="false" ht="23.85" hidden="false" customHeight="false" outlineLevel="0" collapsed="false">
      <c r="A39" s="7" t="s">
        <v>800</v>
      </c>
      <c r="B39" s="12" t="s">
        <v>1011</v>
      </c>
      <c r="C39" s="12" t="s">
        <v>1012</v>
      </c>
      <c r="D39" s="17" t="s">
        <v>1013</v>
      </c>
      <c r="E39" s="12" t="s">
        <v>1014</v>
      </c>
      <c r="F39" s="60"/>
      <c r="G39" s="63" t="n">
        <v>0.0012</v>
      </c>
      <c r="H39" s="60"/>
      <c r="I39" s="60"/>
      <c r="J39" s="26" t="n">
        <v>0</v>
      </c>
      <c r="K39" s="17" t="s">
        <v>1015</v>
      </c>
      <c r="L39" s="12" t="s">
        <v>1016</v>
      </c>
    </row>
    <row r="40" customFormat="false" ht="23.85" hidden="false" customHeight="false" outlineLevel="0" collapsed="false">
      <c r="A40" s="7" t="s">
        <v>803</v>
      </c>
      <c r="B40" s="12" t="s">
        <v>1011</v>
      </c>
      <c r="C40" s="12" t="s">
        <v>1012</v>
      </c>
      <c r="D40" s="17" t="s">
        <v>1017</v>
      </c>
      <c r="E40" s="12" t="s">
        <v>1018</v>
      </c>
      <c r="F40" s="60"/>
      <c r="G40" s="63" t="n">
        <v>0.0006</v>
      </c>
      <c r="H40" s="60"/>
      <c r="I40" s="60"/>
      <c r="J40" s="26" t="n">
        <v>0</v>
      </c>
      <c r="K40" s="17" t="s">
        <v>1019</v>
      </c>
      <c r="L40" s="12" t="s">
        <v>1020</v>
      </c>
    </row>
    <row r="41" customFormat="false" ht="35.05" hidden="false" customHeight="false" outlineLevel="0" collapsed="false">
      <c r="A41" s="7" t="s">
        <v>1021</v>
      </c>
      <c r="B41" s="12" t="s">
        <v>327</v>
      </c>
      <c r="C41" s="12" t="s">
        <v>817</v>
      </c>
      <c r="D41" s="17" t="s">
        <v>1022</v>
      </c>
      <c r="E41" s="12" t="s">
        <v>116</v>
      </c>
      <c r="F41" s="38" t="n">
        <v>1000</v>
      </c>
      <c r="G41" s="64" t="n">
        <v>10</v>
      </c>
      <c r="H41" s="60"/>
      <c r="I41" s="60"/>
      <c r="J41" s="26" t="n">
        <v>0</v>
      </c>
      <c r="K41" s="17" t="s">
        <v>1023</v>
      </c>
      <c r="L41" s="12" t="s">
        <v>1024</v>
      </c>
    </row>
    <row r="42" customFormat="false" ht="15" hidden="false" customHeight="false" outlineLevel="0" collapsed="false">
      <c r="A42" s="7" t="s">
        <v>1025</v>
      </c>
      <c r="B42" s="12" t="s">
        <v>812</v>
      </c>
      <c r="C42" s="12" t="s">
        <v>1026</v>
      </c>
      <c r="D42" s="17" t="s">
        <v>1027</v>
      </c>
      <c r="E42" s="12" t="s">
        <v>1028</v>
      </c>
      <c r="F42" s="60"/>
      <c r="G42" s="64" t="n">
        <v>25</v>
      </c>
      <c r="H42" s="60"/>
      <c r="I42" s="60"/>
      <c r="J42" s="26" t="n">
        <v>0</v>
      </c>
      <c r="K42" s="17" t="s">
        <v>1029</v>
      </c>
      <c r="L42" s="12" t="s">
        <v>1030</v>
      </c>
    </row>
    <row r="43" customFormat="false" ht="15" hidden="false" customHeight="false" outlineLevel="0" collapsed="false">
      <c r="A43" s="7" t="s">
        <v>1031</v>
      </c>
      <c r="B43" s="12" t="s">
        <v>1032</v>
      </c>
      <c r="C43" s="12" t="s">
        <v>1033</v>
      </c>
      <c r="D43" s="17" t="s">
        <v>1034</v>
      </c>
      <c r="E43" s="12" t="s">
        <v>116</v>
      </c>
      <c r="F43" s="60"/>
      <c r="G43" s="64" t="n">
        <v>25</v>
      </c>
      <c r="H43" s="60"/>
      <c r="I43" s="60"/>
      <c r="J43" s="26" t="n">
        <v>0</v>
      </c>
      <c r="K43" s="17"/>
      <c r="L43" s="12" t="s">
        <v>1035</v>
      </c>
    </row>
    <row r="44" customFormat="false" ht="15" hidden="false" customHeight="false" outlineLevel="0" collapsed="false">
      <c r="A44" s="7" t="s">
        <v>1036</v>
      </c>
      <c r="B44" s="12" t="s">
        <v>1032</v>
      </c>
      <c r="C44" s="12" t="s">
        <v>1033</v>
      </c>
      <c r="D44" s="17" t="s">
        <v>1037</v>
      </c>
      <c r="E44" s="12" t="s">
        <v>116</v>
      </c>
      <c r="F44" s="60"/>
      <c r="G44" s="64" t="n">
        <v>15</v>
      </c>
      <c r="H44" s="60"/>
      <c r="I44" s="60"/>
      <c r="J44" s="26" t="n">
        <v>0</v>
      </c>
      <c r="K44" s="17"/>
      <c r="L44" s="12" t="s">
        <v>1035</v>
      </c>
    </row>
    <row r="45" customFormat="false" ht="15" hidden="false" customHeight="false" outlineLevel="0" collapsed="false">
      <c r="A45" s="7" t="s">
        <v>1038</v>
      </c>
      <c r="B45" s="12" t="s">
        <v>1032</v>
      </c>
      <c r="C45" s="12" t="s">
        <v>1033</v>
      </c>
      <c r="D45" s="17" t="s">
        <v>1039</v>
      </c>
      <c r="E45" s="12" t="s">
        <v>116</v>
      </c>
      <c r="F45" s="60"/>
      <c r="G45" s="64" t="n">
        <v>60</v>
      </c>
      <c r="H45" s="60"/>
      <c r="I45" s="60"/>
      <c r="J45" s="26" t="n">
        <v>0</v>
      </c>
      <c r="K45" s="17"/>
      <c r="L45" s="12" t="s">
        <v>1035</v>
      </c>
    </row>
    <row r="46" customFormat="false" ht="15" hidden="false" customHeight="false" outlineLevel="0" collapsed="false">
      <c r="A46" s="7" t="s">
        <v>1040</v>
      </c>
      <c r="B46" s="12" t="s">
        <v>1032</v>
      </c>
      <c r="C46" s="12" t="s">
        <v>1033</v>
      </c>
      <c r="D46" s="17" t="s">
        <v>1041</v>
      </c>
      <c r="E46" s="12" t="s">
        <v>116</v>
      </c>
      <c r="F46" s="60"/>
      <c r="G46" s="64" t="n">
        <v>110</v>
      </c>
      <c r="H46" s="60"/>
      <c r="I46" s="60"/>
      <c r="J46" s="26" t="n">
        <v>0</v>
      </c>
      <c r="K46" s="17"/>
      <c r="L46" s="12" t="s">
        <v>1035</v>
      </c>
    </row>
    <row r="47" customFormat="false" ht="15" hidden="false" customHeight="false" outlineLevel="0" collapsed="false">
      <c r="A47" s="7" t="s">
        <v>785</v>
      </c>
      <c r="B47" s="12" t="s">
        <v>1032</v>
      </c>
      <c r="C47" s="12" t="s">
        <v>1042</v>
      </c>
      <c r="D47" s="17" t="s">
        <v>1043</v>
      </c>
      <c r="E47" s="12" t="s">
        <v>1044</v>
      </c>
      <c r="F47" s="60"/>
      <c r="G47" s="63" t="n">
        <v>0.0003</v>
      </c>
      <c r="H47" s="60"/>
      <c r="I47" s="60"/>
      <c r="J47" s="26" t="n">
        <v>0</v>
      </c>
      <c r="K47" s="17"/>
      <c r="L47" s="12" t="s">
        <v>1045</v>
      </c>
    </row>
    <row r="48" customFormat="false" ht="15" hidden="false" customHeight="false" outlineLevel="0" collapsed="false">
      <c r="A48" s="7" t="s">
        <v>1046</v>
      </c>
      <c r="B48" s="12" t="s">
        <v>1047</v>
      </c>
      <c r="C48" s="12" t="s">
        <v>1048</v>
      </c>
      <c r="D48" s="17" t="s">
        <v>1049</v>
      </c>
      <c r="E48" s="12" t="s">
        <v>116</v>
      </c>
      <c r="F48" s="60"/>
      <c r="G48" s="64" t="n">
        <v>26</v>
      </c>
      <c r="H48" s="60"/>
      <c r="I48" s="60"/>
      <c r="J48" s="26" t="n">
        <v>0</v>
      </c>
      <c r="K48" s="17"/>
      <c r="L48" s="12" t="s">
        <v>1050</v>
      </c>
    </row>
    <row r="49" customFormat="false" ht="15" hidden="false" customHeight="false" outlineLevel="0" collapsed="false">
      <c r="A49" s="7" t="s">
        <v>1051</v>
      </c>
      <c r="B49" s="12" t="s">
        <v>1047</v>
      </c>
      <c r="C49" s="12" t="s">
        <v>1052</v>
      </c>
      <c r="D49" s="17" t="s">
        <v>1053</v>
      </c>
      <c r="E49" s="12" t="s">
        <v>116</v>
      </c>
      <c r="F49" s="60"/>
      <c r="G49" s="64" t="n">
        <v>20</v>
      </c>
      <c r="H49" s="60"/>
      <c r="I49" s="60"/>
      <c r="J49" s="26" t="n">
        <v>0</v>
      </c>
      <c r="K49" s="17"/>
      <c r="L49" s="12" t="s">
        <v>1054</v>
      </c>
    </row>
    <row r="50" customFormat="false" ht="15" hidden="false" customHeight="false" outlineLevel="0" collapsed="false">
      <c r="A50" s="7" t="s">
        <v>1055</v>
      </c>
      <c r="B50" s="12" t="s">
        <v>1047</v>
      </c>
      <c r="C50" s="12" t="s">
        <v>1056</v>
      </c>
      <c r="D50" s="17" t="s">
        <v>1057</v>
      </c>
      <c r="E50" s="12" t="s">
        <v>1058</v>
      </c>
      <c r="F50" s="60"/>
      <c r="G50" s="64" t="n">
        <v>8.4</v>
      </c>
      <c r="H50" s="60"/>
      <c r="I50" s="60"/>
      <c r="J50" s="26" t="n">
        <v>0</v>
      </c>
      <c r="K50" s="17"/>
      <c r="L50" s="12" t="s">
        <v>1059</v>
      </c>
    </row>
    <row r="51" customFormat="false" ht="15" hidden="false" customHeight="false" outlineLevel="0" collapsed="false">
      <c r="A51" s="7" t="s">
        <v>1060</v>
      </c>
      <c r="B51" s="12" t="s">
        <v>1047</v>
      </c>
      <c r="C51" s="12" t="s">
        <v>1061</v>
      </c>
      <c r="D51" s="17" t="s">
        <v>1062</v>
      </c>
      <c r="E51" s="12" t="s">
        <v>1063</v>
      </c>
      <c r="F51" s="60"/>
      <c r="G51" s="64" t="n">
        <v>80</v>
      </c>
      <c r="H51" s="60"/>
      <c r="I51" s="60"/>
      <c r="J51" s="26" t="n">
        <v>0</v>
      </c>
      <c r="K51" s="17"/>
      <c r="L51" s="12" t="s">
        <v>1045</v>
      </c>
    </row>
    <row r="52" customFormat="false" ht="15" hidden="false" customHeight="false" outlineLevel="0" collapsed="false">
      <c r="A52" s="7" t="s">
        <v>1064</v>
      </c>
      <c r="B52" s="12" t="s">
        <v>1032</v>
      </c>
      <c r="C52" s="12" t="s">
        <v>1065</v>
      </c>
      <c r="D52" s="17" t="s">
        <v>1066</v>
      </c>
      <c r="E52" s="12" t="s">
        <v>116</v>
      </c>
      <c r="F52" s="60"/>
      <c r="G52" s="64" t="n">
        <v>12</v>
      </c>
      <c r="H52" s="60"/>
      <c r="I52" s="60"/>
      <c r="J52" s="26" t="n">
        <v>0</v>
      </c>
      <c r="K52" s="17"/>
      <c r="L52" s="12" t="s">
        <v>1067</v>
      </c>
    </row>
    <row r="53" customFormat="false" ht="15" hidden="false" customHeight="false" outlineLevel="0" collapsed="false">
      <c r="A53" s="7" t="s">
        <v>1068</v>
      </c>
      <c r="B53" s="12" t="s">
        <v>1069</v>
      </c>
      <c r="C53" s="12" t="s">
        <v>1070</v>
      </c>
      <c r="D53" s="17" t="s">
        <v>1071</v>
      </c>
      <c r="E53" s="12" t="s">
        <v>1072</v>
      </c>
      <c r="F53" s="60"/>
      <c r="G53" s="24" t="n">
        <v>0.055</v>
      </c>
      <c r="H53" s="60"/>
      <c r="I53" s="60"/>
      <c r="J53" s="26" t="n">
        <v>0</v>
      </c>
      <c r="K53" s="17" t="s">
        <v>1073</v>
      </c>
      <c r="L53" s="12" t="s">
        <v>1074</v>
      </c>
    </row>
    <row r="54" customFormat="false" ht="15" hidden="false" customHeight="false" outlineLevel="0" collapsed="false">
      <c r="A54" s="7" t="s">
        <v>1075</v>
      </c>
      <c r="B54" s="12" t="s">
        <v>1069</v>
      </c>
      <c r="C54" s="12" t="s">
        <v>1076</v>
      </c>
      <c r="D54" s="17" t="s">
        <v>1077</v>
      </c>
      <c r="E54" s="12" t="s">
        <v>1078</v>
      </c>
      <c r="F54" s="60"/>
      <c r="G54" s="24" t="n">
        <v>0.05</v>
      </c>
      <c r="H54" s="60"/>
      <c r="I54" s="60"/>
      <c r="J54" s="26" t="n">
        <v>0</v>
      </c>
      <c r="K54" s="17"/>
      <c r="L54" s="12" t="s">
        <v>1079</v>
      </c>
    </row>
    <row r="55" customFormat="false" ht="15" hidden="false" customHeight="false" outlineLevel="0" collapsed="false">
      <c r="A55" s="7" t="s">
        <v>1080</v>
      </c>
      <c r="B55" s="12" t="s">
        <v>1069</v>
      </c>
      <c r="C55" s="12" t="s">
        <v>1076</v>
      </c>
      <c r="D55" s="17" t="s">
        <v>1081</v>
      </c>
      <c r="E55" s="12" t="s">
        <v>1082</v>
      </c>
      <c r="F55" s="60"/>
      <c r="G55" s="63" t="n">
        <v>0.5</v>
      </c>
      <c r="H55" s="60"/>
      <c r="I55" s="60"/>
      <c r="J55" s="26" t="n">
        <v>0</v>
      </c>
      <c r="K55" s="17"/>
      <c r="L55" s="12" t="s">
        <v>1079</v>
      </c>
    </row>
    <row r="56" customFormat="false" ht="15" hidden="false" customHeight="false" outlineLevel="0" collapsed="false">
      <c r="A56" s="7" t="s">
        <v>1083</v>
      </c>
      <c r="B56" s="12" t="s">
        <v>1069</v>
      </c>
      <c r="C56" s="12" t="s">
        <v>1084</v>
      </c>
      <c r="D56" s="17" t="s">
        <v>1085</v>
      </c>
      <c r="E56" s="12" t="s">
        <v>1086</v>
      </c>
      <c r="F56" s="60"/>
      <c r="G56" s="24" t="n">
        <v>0.02</v>
      </c>
      <c r="H56" s="60"/>
      <c r="I56" s="60"/>
      <c r="J56" s="26" t="n">
        <v>0</v>
      </c>
      <c r="K56" s="17"/>
      <c r="L56" s="12" t="s">
        <v>1079</v>
      </c>
    </row>
    <row r="57" customFormat="false" ht="15" hidden="false" customHeight="false" outlineLevel="0" collapsed="false">
      <c r="A57" s="7" t="s">
        <v>1087</v>
      </c>
      <c r="B57" s="12" t="s">
        <v>1088</v>
      </c>
      <c r="C57" s="12" t="s">
        <v>1089</v>
      </c>
      <c r="D57" s="17" t="s">
        <v>1090</v>
      </c>
      <c r="E57" s="12" t="s">
        <v>1091</v>
      </c>
      <c r="F57" s="60"/>
      <c r="G57" s="24" t="n">
        <v>0.0025</v>
      </c>
      <c r="H57" s="60"/>
      <c r="I57" s="60"/>
      <c r="J57" s="26" t="n">
        <v>0</v>
      </c>
      <c r="K57" s="17" t="s">
        <v>1092</v>
      </c>
      <c r="L57" s="12" t="s">
        <v>1093</v>
      </c>
    </row>
    <row r="58" customFormat="false" ht="15" hidden="false" customHeight="false" outlineLevel="0" collapsed="false">
      <c r="A58" s="7" t="s">
        <v>1094</v>
      </c>
      <c r="B58" s="12" t="s">
        <v>1095</v>
      </c>
      <c r="C58" s="12" t="s">
        <v>1096</v>
      </c>
      <c r="D58" s="17" t="s">
        <v>1097</v>
      </c>
      <c r="E58" s="12" t="s">
        <v>1098</v>
      </c>
      <c r="F58" s="60"/>
      <c r="G58" s="65" t="n">
        <v>277.09</v>
      </c>
      <c r="H58" s="60"/>
      <c r="I58" s="60"/>
      <c r="J58" s="26" t="n">
        <v>0</v>
      </c>
      <c r="K58" s="17" t="s">
        <v>1099</v>
      </c>
      <c r="L58" s="12" t="s">
        <v>1100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6" min="3" style="0" width="12"/>
    <col collapsed="false" customWidth="true" hidden="false" outlineLevel="0" max="7" min="7" style="0" width="56"/>
  </cols>
  <sheetData>
    <row r="1" customFormat="false" ht="17.35" hidden="false" customHeight="false" outlineLevel="0" collapsed="false">
      <c r="A1" s="1" t="s">
        <v>1101</v>
      </c>
      <c r="B1" s="2"/>
      <c r="C1" s="2"/>
      <c r="D1" s="2"/>
      <c r="E1" s="2"/>
      <c r="F1" s="2"/>
      <c r="G1" s="2"/>
    </row>
    <row r="2" customFormat="false" ht="15" hidden="false" customHeight="false" outlineLevel="0" collapsed="false">
      <c r="A2" s="3" t="s">
        <v>1102</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1103</v>
      </c>
      <c r="B4" s="6" t="s">
        <v>1104</v>
      </c>
      <c r="C4" s="6" t="s">
        <v>1105</v>
      </c>
      <c r="D4" s="6" t="s">
        <v>1106</v>
      </c>
      <c r="E4" s="6" t="s">
        <v>14</v>
      </c>
      <c r="F4" s="6" t="s">
        <v>16</v>
      </c>
      <c r="G4" s="6" t="s">
        <v>113</v>
      </c>
    </row>
    <row r="5" customFormat="false" ht="15" hidden="false" customHeight="false" outlineLevel="0" collapsed="false">
      <c r="A5" s="4" t="s">
        <v>1107</v>
      </c>
      <c r="B5" s="2"/>
      <c r="C5" s="28" t="n">
        <v>0</v>
      </c>
      <c r="D5" s="28" t="n">
        <v>26</v>
      </c>
      <c r="E5" s="28" t="n">
        <v>151</v>
      </c>
      <c r="F5" s="28" t="n">
        <v>601</v>
      </c>
      <c r="G5" s="2"/>
    </row>
    <row r="6" customFormat="false" ht="15" hidden="false" customHeight="false" outlineLevel="0" collapsed="false">
      <c r="A6" s="12" t="s">
        <v>1108</v>
      </c>
      <c r="B6" s="31" t="s">
        <v>1109</v>
      </c>
      <c r="C6" s="51" t="n">
        <v>25</v>
      </c>
      <c r="D6" s="51" t="n">
        <v>60</v>
      </c>
      <c r="E6" s="51" t="n">
        <v>180</v>
      </c>
      <c r="F6" s="51" t="n">
        <v>450</v>
      </c>
      <c r="G6" s="31" t="s">
        <v>1110</v>
      </c>
    </row>
    <row r="7" customFormat="false" ht="15" hidden="false" customHeight="false" outlineLevel="0" collapsed="false">
      <c r="A7" s="12" t="s">
        <v>1111</v>
      </c>
      <c r="B7" s="31" t="s">
        <v>1112</v>
      </c>
      <c r="C7" s="51" t="n">
        <v>3</v>
      </c>
      <c r="D7" s="51" t="n">
        <v>5</v>
      </c>
      <c r="E7" s="51" t="n">
        <v>10</v>
      </c>
      <c r="F7" s="51" t="n">
        <v>20</v>
      </c>
      <c r="G7" s="31"/>
    </row>
    <row r="8" customFormat="false" ht="15" hidden="false" customHeight="false" outlineLevel="0" collapsed="false">
      <c r="A8" s="12" t="s">
        <v>1113</v>
      </c>
      <c r="B8" s="31" t="s">
        <v>1033</v>
      </c>
      <c r="C8" s="8" t="n">
        <f aca="false">'Vendor Prices'!$G$43</f>
        <v>25</v>
      </c>
      <c r="D8" s="8" t="n">
        <f aca="false">'Vendor Prices'!$G$43</f>
        <v>25</v>
      </c>
      <c r="E8" s="8" t="n">
        <f aca="false">'Vendor Prices'!$G$43</f>
        <v>25</v>
      </c>
      <c r="F8" s="8" t="n">
        <f aca="false">'Vendor Prices'!$G$43</f>
        <v>25</v>
      </c>
      <c r="G8" s="31"/>
    </row>
    <row r="9" customFormat="false" ht="15" hidden="false" customHeight="false" outlineLevel="0" collapsed="false">
      <c r="A9" s="12" t="s">
        <v>1114</v>
      </c>
      <c r="B9" s="31" t="s">
        <v>1033</v>
      </c>
      <c r="C9" s="51" t="n">
        <v>0</v>
      </c>
      <c r="D9" s="8" t="n">
        <f aca="false">'Vendor Prices'!$G$44-10</f>
        <v>5</v>
      </c>
      <c r="E9" s="8" t="n">
        <f aca="false">'Vendor Prices'!$G$45-10</f>
        <v>50</v>
      </c>
      <c r="F9" s="8" t="n">
        <f aca="false">'Vendor Prices'!$G$46-10</f>
        <v>100</v>
      </c>
      <c r="G9" s="31"/>
    </row>
    <row r="10" customFormat="false" ht="15" hidden="false" customHeight="false" outlineLevel="0" collapsed="false">
      <c r="A10" s="12" t="s">
        <v>1115</v>
      </c>
      <c r="B10" s="31" t="s">
        <v>1033</v>
      </c>
      <c r="C10" s="51" t="n">
        <v>0</v>
      </c>
      <c r="D10" s="51" t="n">
        <v>8</v>
      </c>
      <c r="E10" s="51" t="n">
        <v>35</v>
      </c>
      <c r="F10" s="51" t="n">
        <v>120</v>
      </c>
      <c r="G10" s="31" t="s">
        <v>1116</v>
      </c>
    </row>
    <row r="11" customFormat="false" ht="15" hidden="false" customHeight="false" outlineLevel="0" collapsed="false">
      <c r="A11" s="12" t="s">
        <v>1117</v>
      </c>
      <c r="B11" s="31" t="s">
        <v>817</v>
      </c>
      <c r="C11" s="51" t="n">
        <v>10</v>
      </c>
      <c r="D11" s="51" t="n">
        <v>0</v>
      </c>
      <c r="E11" s="51" t="n">
        <v>0</v>
      </c>
      <c r="F11" s="51" t="n">
        <v>0</v>
      </c>
      <c r="G11" s="31" t="s">
        <v>1118</v>
      </c>
    </row>
    <row r="12" customFormat="false" ht="15" hidden="false" customHeight="false" outlineLevel="0" collapsed="false">
      <c r="A12" s="12" t="s">
        <v>1119</v>
      </c>
      <c r="B12" s="31" t="s">
        <v>1048</v>
      </c>
      <c r="C12" s="51" t="n">
        <v>0</v>
      </c>
      <c r="D12" s="8" t="n">
        <f aca="false">'Vendor Prices'!$G$48</f>
        <v>26</v>
      </c>
      <c r="E12" s="8" t="n">
        <f aca="false">'Vendor Prices'!$G$48</f>
        <v>26</v>
      </c>
      <c r="F12" s="51" t="n">
        <v>80</v>
      </c>
      <c r="G12" s="31"/>
    </row>
    <row r="13" customFormat="false" ht="15" hidden="false" customHeight="false" outlineLevel="0" collapsed="false">
      <c r="A13" s="12" t="s">
        <v>1120</v>
      </c>
      <c r="B13" s="31" t="s">
        <v>1052</v>
      </c>
      <c r="C13" s="51" t="n">
        <v>0</v>
      </c>
      <c r="D13" s="8" t="n">
        <f aca="false">'Vendor Prices'!$G$49</f>
        <v>20</v>
      </c>
      <c r="E13" s="8" t="n">
        <f aca="false">'Vendor Prices'!$G$49</f>
        <v>20</v>
      </c>
      <c r="F13" s="51" t="n">
        <v>90</v>
      </c>
      <c r="G13" s="31" t="s">
        <v>1121</v>
      </c>
    </row>
    <row r="14" customFormat="false" ht="15" hidden="false" customHeight="false" outlineLevel="0" collapsed="false">
      <c r="A14" s="12" t="s">
        <v>1056</v>
      </c>
      <c r="B14" s="31" t="s">
        <v>1122</v>
      </c>
      <c r="C14" s="8" t="n">
        <f aca="false">2*'Vendor Prices'!$G$50</f>
        <v>16.8</v>
      </c>
      <c r="D14" s="8" t="n">
        <f aca="false">3*'Vendor Prices'!$G$50</f>
        <v>25.2</v>
      </c>
      <c r="E14" s="8" t="n">
        <f aca="false">6*'Vendor Prices'!$G$50</f>
        <v>50.4</v>
      </c>
      <c r="F14" s="8" t="n">
        <f aca="false">12*'Vendor Prices'!$G$50</f>
        <v>100.8</v>
      </c>
      <c r="G14" s="31"/>
    </row>
    <row r="15" customFormat="false" ht="15" hidden="false" customHeight="false" outlineLevel="0" collapsed="false">
      <c r="A15" s="12" t="s">
        <v>1123</v>
      </c>
      <c r="B15" s="31" t="s">
        <v>1061</v>
      </c>
      <c r="C15" s="8" t="n">
        <f aca="false">'Vendor Prices'!$G$51/12</f>
        <v>6.66666666666667</v>
      </c>
      <c r="D15" s="8" t="n">
        <f aca="false">'Vendor Prices'!$G$51/12</f>
        <v>6.66666666666667</v>
      </c>
      <c r="E15" s="8" t="n">
        <f aca="false">'Vendor Prices'!$G$51/12</f>
        <v>6.66666666666667</v>
      </c>
      <c r="F15" s="8" t="n">
        <f aca="false">'Vendor Prices'!$G$51/12</f>
        <v>6.66666666666667</v>
      </c>
      <c r="G15" s="31"/>
    </row>
    <row r="16" customFormat="false" ht="15" hidden="false" customHeight="false" outlineLevel="0" collapsed="false">
      <c r="A16" s="12" t="s">
        <v>1124</v>
      </c>
      <c r="B16" s="31" t="s">
        <v>1125</v>
      </c>
      <c r="C16" s="51" t="n">
        <v>0</v>
      </c>
      <c r="D16" s="51" t="n">
        <v>15</v>
      </c>
      <c r="E16" s="51" t="n">
        <v>30</v>
      </c>
      <c r="F16" s="51" t="n">
        <v>60</v>
      </c>
      <c r="G16" s="31"/>
    </row>
    <row r="17" customFormat="false" ht="15" hidden="false" customHeight="false" outlineLevel="0" collapsed="false">
      <c r="A17" s="12" t="s">
        <v>1066</v>
      </c>
      <c r="B17" s="31" t="s">
        <v>1065</v>
      </c>
      <c r="C17" s="8" t="n">
        <f aca="false">'Vendor Prices'!$G$52</f>
        <v>12</v>
      </c>
      <c r="D17" s="51" t="n">
        <v>0</v>
      </c>
      <c r="E17" s="51" t="n">
        <v>0</v>
      </c>
      <c r="F17" s="51" t="n">
        <v>0</v>
      </c>
      <c r="G17" s="31" t="s">
        <v>1126</v>
      </c>
    </row>
    <row r="18" customFormat="false" ht="15" hidden="false" customHeight="false" outlineLevel="0" collapsed="false">
      <c r="A18" s="12" t="s">
        <v>1127</v>
      </c>
      <c r="B18" s="31" t="s">
        <v>1070</v>
      </c>
      <c r="C18" s="51" t="n">
        <v>80</v>
      </c>
      <c r="D18" s="51" t="n">
        <v>150</v>
      </c>
      <c r="E18" s="51" t="n">
        <v>300</v>
      </c>
      <c r="F18" s="51" t="n">
        <v>600</v>
      </c>
      <c r="G18" s="31" t="s">
        <v>1128</v>
      </c>
    </row>
    <row r="19" customFormat="false" ht="15" hidden="false" customHeight="false" outlineLevel="0" collapsed="false">
      <c r="A19" s="12" t="s">
        <v>1129</v>
      </c>
      <c r="B19" s="31" t="s">
        <v>1130</v>
      </c>
      <c r="C19" s="51" t="n">
        <v>0</v>
      </c>
      <c r="D19" s="51" t="n">
        <v>0</v>
      </c>
      <c r="E19" s="51" t="n">
        <v>70</v>
      </c>
      <c r="F19" s="51" t="n">
        <v>175</v>
      </c>
      <c r="G19" s="31"/>
    </row>
    <row r="20" customFormat="false" ht="15" hidden="false" customHeight="false" outlineLevel="0" collapsed="false">
      <c r="A20" s="12" t="s">
        <v>1131</v>
      </c>
      <c r="B20" s="31" t="s">
        <v>1132</v>
      </c>
      <c r="C20" s="51" t="n">
        <v>36</v>
      </c>
      <c r="D20" s="51" t="n">
        <v>54</v>
      </c>
      <c r="E20" s="51" t="n">
        <v>108</v>
      </c>
      <c r="F20" s="51" t="n">
        <v>200</v>
      </c>
      <c r="G20" s="31"/>
    </row>
    <row r="21" customFormat="false" ht="15" hidden="false" customHeight="false" outlineLevel="0" collapsed="false">
      <c r="A21" s="12" t="s">
        <v>1133</v>
      </c>
      <c r="B21" s="31" t="s">
        <v>1134</v>
      </c>
      <c r="C21" s="51" t="n">
        <v>10</v>
      </c>
      <c r="D21" s="51" t="n">
        <v>20</v>
      </c>
      <c r="E21" s="51" t="n">
        <v>40</v>
      </c>
      <c r="F21" s="51" t="n">
        <v>80</v>
      </c>
      <c r="G21" s="31"/>
    </row>
    <row r="22" customFormat="false" ht="15" hidden="false" customHeight="false" outlineLevel="0" collapsed="false">
      <c r="A22" s="12" t="s">
        <v>1135</v>
      </c>
      <c r="B22" s="31" t="s">
        <v>1130</v>
      </c>
      <c r="C22" s="51" t="n">
        <v>60</v>
      </c>
      <c r="D22" s="51" t="n">
        <v>100</v>
      </c>
      <c r="E22" s="51" t="n">
        <v>200</v>
      </c>
      <c r="F22" s="51" t="n">
        <v>400</v>
      </c>
      <c r="G22" s="31"/>
    </row>
    <row r="23" customFormat="false" ht="15" hidden="false" customHeight="false" outlineLevel="0" collapsed="false">
      <c r="A23" s="12" t="s">
        <v>1136</v>
      </c>
      <c r="B23" s="31" t="s">
        <v>1130</v>
      </c>
      <c r="C23" s="51" t="n">
        <v>0</v>
      </c>
      <c r="D23" s="51" t="n">
        <v>200</v>
      </c>
      <c r="E23" s="51" t="n">
        <v>800</v>
      </c>
      <c r="F23" s="51" t="n">
        <v>2500</v>
      </c>
      <c r="G23" s="31"/>
    </row>
    <row r="24" customFormat="false" ht="15" hidden="false" customHeight="false" outlineLevel="0" collapsed="false">
      <c r="A24" s="12" t="s">
        <v>1137</v>
      </c>
      <c r="B24" s="31" t="s">
        <v>1138</v>
      </c>
      <c r="C24" s="51" t="n">
        <v>0</v>
      </c>
      <c r="D24" s="51" t="n">
        <v>900</v>
      </c>
      <c r="E24" s="51" t="n">
        <v>4000</v>
      </c>
      <c r="F24" s="51" t="n">
        <v>12000</v>
      </c>
      <c r="G24" s="31"/>
    </row>
    <row r="25" customFormat="false" ht="15" hidden="false" customHeight="false" outlineLevel="0" collapsed="false">
      <c r="A25" s="4" t="s">
        <v>1139</v>
      </c>
      <c r="B25" s="2"/>
      <c r="C25" s="56" t="n">
        <f aca="false">SUM(C6:C24)</f>
        <v>284.466666666667</v>
      </c>
      <c r="D25" s="56" t="n">
        <f aca="false">SUM(D6:D24)</f>
        <v>1619.86666666667</v>
      </c>
      <c r="E25" s="56" t="n">
        <f aca="false">SUM(E6:E24)</f>
        <v>5951.06666666667</v>
      </c>
      <c r="F25" s="56" t="n">
        <f aca="false">SUM(F6:F24)</f>
        <v>17007.4666666667</v>
      </c>
      <c r="G25" s="2"/>
    </row>
    <row r="26" customFormat="false" ht="15" hidden="false" customHeight="false" outlineLevel="0" collapsed="false">
      <c r="A26" s="4" t="s">
        <v>1140</v>
      </c>
      <c r="B26" s="2"/>
      <c r="C26" s="66" t="n">
        <f aca="false">C25*Inputs!$B$5</f>
        <v>78822.8686666667</v>
      </c>
      <c r="D26" s="66" t="n">
        <f aca="false">D25*Inputs!$B$5</f>
        <v>448848.854666667</v>
      </c>
      <c r="E26" s="66" t="n">
        <f aca="false">E25*Inputs!$B$5</f>
        <v>1648981.06266667</v>
      </c>
      <c r="F26" s="66" t="n">
        <f aca="false">F25*Inputs!$B$5</f>
        <v>4712598.93866667</v>
      </c>
      <c r="G26" s="2"/>
    </row>
    <row r="27" customFormat="false" ht="15" hidden="false" customHeight="false" outlineLevel="0" collapsed="false">
      <c r="A27" s="4" t="s">
        <v>1141</v>
      </c>
      <c r="B27" s="2"/>
      <c r="C27" s="56" t="n">
        <f aca="false">C25-C24-C23</f>
        <v>284.466666666667</v>
      </c>
      <c r="D27" s="56" t="n">
        <f aca="false">D25-D24-D23</f>
        <v>519.866666666667</v>
      </c>
      <c r="E27" s="56" t="n">
        <f aca="false">E25-E24-E23</f>
        <v>1151.06666666667</v>
      </c>
      <c r="F27" s="56" t="n">
        <f aca="false">F25-F24-F23</f>
        <v>2507.46666666667</v>
      </c>
      <c r="G2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5" topLeftCell="C26" activePane="bottomRight" state="frozen"/>
      <selection pane="topLeft" activeCell="A1" activeCellId="0" sqref="A1"/>
      <selection pane="topRight" activeCell="C1" activeCellId="0" sqref="C1"/>
      <selection pane="bottomLeft" activeCell="A26" activeCellId="0" sqref="A2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5" min="3" style="0" width="12"/>
    <col collapsed="false" customWidth="true" hidden="false" outlineLevel="0" max="26" min="6" style="0" width="11"/>
  </cols>
  <sheetData>
    <row r="1" customFormat="false" ht="17.35" hidden="false" customHeight="false" outlineLevel="0" collapsed="false">
      <c r="A1" s="1" t="s">
        <v>1142</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3" t="s">
        <v>1143</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4" t="s">
        <v>1144</v>
      </c>
      <c r="B4" s="67" t="n">
        <v>2</v>
      </c>
      <c r="C4" s="2"/>
      <c r="D4" s="2"/>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30" hidden="false" customHeight="true" outlineLevel="0" collapsed="false">
      <c r="A6" s="6" t="s">
        <v>1145</v>
      </c>
      <c r="B6" s="6" t="s">
        <v>1146</v>
      </c>
      <c r="C6" s="6" t="s">
        <v>1147</v>
      </c>
      <c r="D6" s="6" t="s">
        <v>1148</v>
      </c>
      <c r="E6" s="6" t="s">
        <v>1149</v>
      </c>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50" t="s">
        <v>1150</v>
      </c>
      <c r="B7" s="28" t="n">
        <v>2</v>
      </c>
      <c r="C7" s="28" t="n">
        <v>3</v>
      </c>
      <c r="D7" s="28" t="n">
        <v>5</v>
      </c>
      <c r="E7" s="68" t="n">
        <f aca="false">INDEX(B7:D7,1,$B$4)</f>
        <v>3</v>
      </c>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50" t="s">
        <v>1151</v>
      </c>
      <c r="B8" s="53" t="n">
        <v>0.1</v>
      </c>
      <c r="C8" s="53" t="n">
        <v>0.15</v>
      </c>
      <c r="D8" s="53" t="n">
        <v>0.22</v>
      </c>
      <c r="E8" s="46" t="n">
        <f aca="false">INDEX(B8:D8,1,$B$4)</f>
        <v>0.15</v>
      </c>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50" t="s">
        <v>1152</v>
      </c>
      <c r="B9" s="53" t="n">
        <v>0.05</v>
      </c>
      <c r="C9" s="53" t="n">
        <v>0.07</v>
      </c>
      <c r="D9" s="53" t="n">
        <v>0.1</v>
      </c>
      <c r="E9" s="46" t="n">
        <f aca="false">INDEX(B9:D9,1,$B$4)</f>
        <v>0.07</v>
      </c>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50" t="s">
        <v>1153</v>
      </c>
      <c r="B10" s="53" t="n">
        <v>0.6</v>
      </c>
      <c r="C10" s="53" t="n">
        <v>0.55</v>
      </c>
      <c r="D10" s="53" t="n">
        <v>0.45</v>
      </c>
      <c r="E10" s="46" t="n">
        <f aca="false">INDEX(B10:D10,1,$B$4)</f>
        <v>0.55</v>
      </c>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50" t="s">
        <v>1154</v>
      </c>
      <c r="B11" s="53" t="n">
        <v>0.3</v>
      </c>
      <c r="C11" s="53" t="n">
        <v>0.32</v>
      </c>
      <c r="D11" s="53" t="n">
        <v>0.35</v>
      </c>
      <c r="E11" s="46" t="n">
        <f aca="false">INDEX(B11:D11,1,$B$4)</f>
        <v>0.32</v>
      </c>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50" t="s">
        <v>1155</v>
      </c>
      <c r="B12" s="53" t="n">
        <v>0.09</v>
      </c>
      <c r="C12" s="53" t="n">
        <v>0.12</v>
      </c>
      <c r="D12" s="53" t="n">
        <v>0.17</v>
      </c>
      <c r="E12" s="46" t="n">
        <f aca="false">INDEX(B12:D12,1,$B$4)</f>
        <v>0.12</v>
      </c>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50" t="s">
        <v>1156</v>
      </c>
      <c r="B13" s="53" t="n">
        <v>0.01</v>
      </c>
      <c r="C13" s="53" t="n">
        <v>0.01</v>
      </c>
      <c r="D13" s="53" t="n">
        <v>0.03</v>
      </c>
      <c r="E13" s="46" t="n">
        <f aca="false">INDEX(B13:D13,1,$B$4)</f>
        <v>0.01</v>
      </c>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50" t="s">
        <v>1157</v>
      </c>
      <c r="B14" s="53" t="n">
        <v>0.07</v>
      </c>
      <c r="C14" s="53" t="n">
        <v>0.055</v>
      </c>
      <c r="D14" s="53" t="n">
        <v>0.04</v>
      </c>
      <c r="E14" s="46" t="n">
        <f aca="false">INDEX(B14:D14,1,$B$4)</f>
        <v>0.055</v>
      </c>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50" t="s">
        <v>1158</v>
      </c>
      <c r="B15" s="53" t="n">
        <v>0.05</v>
      </c>
      <c r="C15" s="53" t="n">
        <v>0.038</v>
      </c>
      <c r="D15" s="53" t="n">
        <v>0.03</v>
      </c>
      <c r="E15" s="46" t="n">
        <f aca="false">INDEX(B15:D15,1,$B$4)</f>
        <v>0.038</v>
      </c>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50" t="s">
        <v>1159</v>
      </c>
      <c r="B16" s="53" t="n">
        <v>0.04</v>
      </c>
      <c r="C16" s="53" t="n">
        <v>0.03</v>
      </c>
      <c r="D16" s="53" t="n">
        <v>0.02</v>
      </c>
      <c r="E16" s="46" t="n">
        <f aca="false">INDEX(B16:D16,1,$B$4)</f>
        <v>0.03</v>
      </c>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50" t="s">
        <v>1160</v>
      </c>
      <c r="B17" s="53" t="n">
        <v>0.025</v>
      </c>
      <c r="C17" s="53" t="n">
        <v>0.02</v>
      </c>
      <c r="D17" s="53" t="n">
        <v>0.015</v>
      </c>
      <c r="E17" s="46" t="n">
        <f aca="false">INDEX(B17:D17,1,$B$4)</f>
        <v>0.02</v>
      </c>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50" t="s">
        <v>1161</v>
      </c>
      <c r="B18" s="53" t="n">
        <v>0.25</v>
      </c>
      <c r="C18" s="53" t="n">
        <v>0.15</v>
      </c>
      <c r="D18" s="53" t="n">
        <v>0.1</v>
      </c>
      <c r="E18" s="46" t="n">
        <f aca="false">INDEX(B18:D18,1,$B$4)</f>
        <v>0.15</v>
      </c>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50" t="s">
        <v>1162</v>
      </c>
      <c r="B19" s="53" t="n">
        <v>0.06</v>
      </c>
      <c r="C19" s="53" t="n">
        <v>0.12</v>
      </c>
      <c r="D19" s="53" t="n">
        <v>0.18</v>
      </c>
      <c r="E19" s="46" t="n">
        <f aca="false">INDEX(B19:D19,1,$B$4)</f>
        <v>0.12</v>
      </c>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50" t="s">
        <v>1163</v>
      </c>
      <c r="B20" s="57" t="n">
        <v>5</v>
      </c>
      <c r="C20" s="57" t="n">
        <v>10</v>
      </c>
      <c r="D20" s="57" t="n">
        <v>20</v>
      </c>
      <c r="E20" s="56" t="n">
        <f aca="false">INDEX(B20:D20,1,$B$4)</f>
        <v>10</v>
      </c>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50" t="s">
        <v>1164</v>
      </c>
      <c r="B21" s="57" t="n">
        <v>150</v>
      </c>
      <c r="C21" s="57" t="n">
        <v>100</v>
      </c>
      <c r="D21" s="57" t="n">
        <v>70</v>
      </c>
      <c r="E21" s="56" t="n">
        <f aca="false">INDEX(B21:D21,1,$B$4)</f>
        <v>100</v>
      </c>
      <c r="F21" s="2"/>
      <c r="G21" s="2"/>
      <c r="H21" s="2"/>
      <c r="I21" s="2"/>
      <c r="J21" s="2"/>
      <c r="K21" s="2"/>
      <c r="L21" s="2"/>
      <c r="M21" s="2"/>
      <c r="N21" s="2"/>
      <c r="O21" s="2"/>
      <c r="P21" s="2"/>
      <c r="Q21" s="2"/>
      <c r="R21" s="2"/>
      <c r="S21" s="2"/>
      <c r="T21" s="2"/>
      <c r="U21" s="2"/>
      <c r="V21" s="2"/>
      <c r="W21" s="2"/>
      <c r="X21" s="2"/>
      <c r="Y21" s="2"/>
      <c r="Z21" s="2"/>
    </row>
    <row r="22" customFormat="false" ht="15" hidden="false" customHeight="false" outlineLevel="0" collapsed="false">
      <c r="A22" s="50" t="s">
        <v>1165</v>
      </c>
      <c r="B22" s="28" t="n">
        <v>10</v>
      </c>
      <c r="C22" s="28" t="n">
        <v>8</v>
      </c>
      <c r="D22" s="28" t="n">
        <v>6</v>
      </c>
      <c r="E22" s="68" t="n">
        <f aca="false">INDEX(B22:D22,1,$B$4)</f>
        <v>8</v>
      </c>
      <c r="F22" s="2"/>
      <c r="G22" s="2"/>
      <c r="H22" s="2"/>
      <c r="I22" s="2"/>
      <c r="J22" s="2"/>
      <c r="K22" s="2"/>
      <c r="L22" s="2"/>
      <c r="M22" s="2"/>
      <c r="N22" s="2"/>
      <c r="O22" s="2"/>
      <c r="P22" s="2"/>
      <c r="Q22" s="2"/>
      <c r="R22" s="2"/>
      <c r="S22" s="2"/>
      <c r="T22" s="2"/>
      <c r="U22" s="2"/>
      <c r="V22" s="2"/>
      <c r="W22" s="2"/>
      <c r="X22" s="2"/>
      <c r="Y22" s="2"/>
      <c r="Z22" s="2"/>
    </row>
    <row r="23" customFormat="false" ht="15" hidden="false" customHeight="false" outlineLevel="0" collapsed="false">
      <c r="A23" s="50" t="s">
        <v>1166</v>
      </c>
      <c r="B23" s="2"/>
      <c r="C23" s="2"/>
      <c r="D23" s="2"/>
      <c r="E23" s="69" t="n">
        <f aca="false">Plans!$C$54</f>
        <v>0.917783717644092</v>
      </c>
      <c r="F23" s="2"/>
      <c r="G23" s="2"/>
      <c r="H23" s="2"/>
      <c r="I23" s="2"/>
      <c r="J23" s="2"/>
      <c r="K23" s="2"/>
      <c r="L23" s="2"/>
      <c r="M23" s="2"/>
      <c r="N23" s="2"/>
      <c r="O23" s="2"/>
      <c r="P23" s="2"/>
      <c r="Q23" s="2"/>
      <c r="R23" s="2"/>
      <c r="S23" s="2"/>
      <c r="T23" s="2"/>
      <c r="U23" s="2"/>
      <c r="V23" s="2"/>
      <c r="W23" s="2"/>
      <c r="X23" s="2"/>
      <c r="Y23" s="2"/>
      <c r="Z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false" outlineLevel="0" collapsed="false">
      <c r="A25" s="70" t="s">
        <v>111</v>
      </c>
      <c r="B25" s="70" t="s">
        <v>1167</v>
      </c>
      <c r="C25" s="70" t="s">
        <v>1168</v>
      </c>
      <c r="D25" s="70" t="s">
        <v>1169</v>
      </c>
      <c r="E25" s="70" t="s">
        <v>1170</v>
      </c>
      <c r="F25" s="70" t="s">
        <v>1171</v>
      </c>
      <c r="G25" s="70" t="s">
        <v>1172</v>
      </c>
      <c r="H25" s="70" t="s">
        <v>1173</v>
      </c>
      <c r="I25" s="70" t="s">
        <v>1174</v>
      </c>
      <c r="J25" s="70" t="s">
        <v>1175</v>
      </c>
      <c r="K25" s="70" t="s">
        <v>1176</v>
      </c>
      <c r="L25" s="70" t="s">
        <v>1177</v>
      </c>
      <c r="M25" s="70" t="s">
        <v>1178</v>
      </c>
      <c r="N25" s="70" t="s">
        <v>1179</v>
      </c>
      <c r="O25" s="70" t="s">
        <v>1180</v>
      </c>
      <c r="P25" s="70" t="s">
        <v>1181</v>
      </c>
      <c r="Q25" s="70" t="s">
        <v>1182</v>
      </c>
      <c r="R25" s="70" t="s">
        <v>1183</v>
      </c>
      <c r="S25" s="70" t="s">
        <v>1184</v>
      </c>
      <c r="T25" s="70" t="s">
        <v>1185</v>
      </c>
      <c r="U25" s="70" t="s">
        <v>1186</v>
      </c>
      <c r="V25" s="70" t="s">
        <v>1187</v>
      </c>
      <c r="W25" s="70" t="s">
        <v>1188</v>
      </c>
      <c r="X25" s="70" t="s">
        <v>1189</v>
      </c>
      <c r="Y25" s="70" t="s">
        <v>1190</v>
      </c>
      <c r="Z25" s="70" t="s">
        <v>1191</v>
      </c>
    </row>
    <row r="26" customFormat="false" ht="15" hidden="false" customHeight="false" outlineLevel="0" collapsed="false">
      <c r="A26" s="50" t="s">
        <v>1192</v>
      </c>
      <c r="B26" s="58" t="n">
        <f aca="false">SUM(C26:Z26)</f>
        <v>354.154288578097</v>
      </c>
      <c r="C26" s="54" t="n">
        <f aca="false">$E$7</f>
        <v>3</v>
      </c>
      <c r="D26" s="54" t="n">
        <f aca="false">C26*(1+$E$8)</f>
        <v>3.45</v>
      </c>
      <c r="E26" s="54" t="n">
        <f aca="false">D26*(1+$E$8)</f>
        <v>3.9675</v>
      </c>
      <c r="F26" s="54" t="n">
        <f aca="false">E26*(1+$E$8)</f>
        <v>4.562625</v>
      </c>
      <c r="G26" s="54" t="n">
        <f aca="false">F26*(1+$E$8)</f>
        <v>5.24701875</v>
      </c>
      <c r="H26" s="54" t="n">
        <f aca="false">G26*(1+$E$8)</f>
        <v>6.0340715625</v>
      </c>
      <c r="I26" s="54" t="n">
        <f aca="false">H26*(1+$E$8)</f>
        <v>6.939182296875</v>
      </c>
      <c r="J26" s="54" t="n">
        <f aca="false">I26*(1+$E$8)</f>
        <v>7.98005964140624</v>
      </c>
      <c r="K26" s="54" t="n">
        <f aca="false">J26*(1+$E$8)</f>
        <v>9.17706858761718</v>
      </c>
      <c r="L26" s="54" t="n">
        <f aca="false">K26*(1+$E$8)</f>
        <v>10.5536288757598</v>
      </c>
      <c r="M26" s="54" t="n">
        <f aca="false">L26*(1+$E$8)</f>
        <v>12.1366732071237</v>
      </c>
      <c r="N26" s="54" t="n">
        <f aca="false">M26*(1+$E$8)</f>
        <v>13.9571741881923</v>
      </c>
      <c r="O26" s="54" t="n">
        <f aca="false">N26*(1+$E$9)</f>
        <v>14.9341763813657</v>
      </c>
      <c r="P26" s="54" t="n">
        <f aca="false">O26*(1+$E$9)</f>
        <v>15.9795687280613</v>
      </c>
      <c r="Q26" s="54" t="n">
        <f aca="false">P26*(1+$E$9)</f>
        <v>17.0981385390256</v>
      </c>
      <c r="R26" s="54" t="n">
        <f aca="false">Q26*(1+$E$9)</f>
        <v>18.2950082367574</v>
      </c>
      <c r="S26" s="54" t="n">
        <f aca="false">R26*(1+$E$9)</f>
        <v>19.5756588133305</v>
      </c>
      <c r="T26" s="54" t="n">
        <f aca="false">S26*(1+$E$9)</f>
        <v>20.9459549302636</v>
      </c>
      <c r="U26" s="54" t="n">
        <f aca="false">T26*(1+$E$9)</f>
        <v>22.412171775382</v>
      </c>
      <c r="V26" s="54" t="n">
        <f aca="false">U26*(1+$E$9)</f>
        <v>23.9810237996588</v>
      </c>
      <c r="W26" s="54" t="n">
        <f aca="false">V26*(1+$E$9)</f>
        <v>25.6596954656349</v>
      </c>
      <c r="X26" s="54" t="n">
        <f aca="false">W26*(1+$E$9)</f>
        <v>27.4558741482293</v>
      </c>
      <c r="Y26" s="54" t="n">
        <f aca="false">X26*(1+$E$9)</f>
        <v>29.3777853386054</v>
      </c>
      <c r="Z26" s="54" t="n">
        <f aca="false">Y26*(1+$E$9)</f>
        <v>31.4342303123078</v>
      </c>
    </row>
    <row r="27" customFormat="false" ht="15" hidden="false" customHeight="false" outlineLevel="0" collapsed="false">
      <c r="A27" s="50" t="s">
        <v>1193</v>
      </c>
      <c r="B27" s="58" t="n">
        <f aca="false">Z27</f>
        <v>134.434949395701</v>
      </c>
      <c r="C27" s="54" t="n">
        <f aca="false">C26*$E$10</f>
        <v>1.65</v>
      </c>
      <c r="D27" s="54" t="n">
        <f aca="false">C27*(1-$E$14)+D26*$E$10</f>
        <v>3.45675</v>
      </c>
      <c r="E27" s="54" t="n">
        <f aca="false">D27*(1-$E$14)+E26*$E$10</f>
        <v>5.44875375</v>
      </c>
      <c r="F27" s="54" t="n">
        <f aca="false">E27*(1-$E$14)+F26*$E$10</f>
        <v>7.65851604375</v>
      </c>
      <c r="G27" s="54" t="n">
        <f aca="false">F27*(1-$E$14)+G26*$E$10</f>
        <v>10.1231579738437</v>
      </c>
      <c r="H27" s="54" t="n">
        <f aca="false">G27*(1-$E$14)+H26*$E$10</f>
        <v>12.8851236446573</v>
      </c>
      <c r="I27" s="54" t="n">
        <f aca="false">H27*(1-$E$14)+I26*$E$10</f>
        <v>15.9929921074824</v>
      </c>
      <c r="J27" s="54" t="n">
        <f aca="false">I27*(1-$E$14)+J26*$E$10</f>
        <v>19.5024103443443</v>
      </c>
      <c r="K27" s="54" t="n">
        <f aca="false">J27*(1-$E$14)+K26*$E$10</f>
        <v>23.4771654985948</v>
      </c>
      <c r="L27" s="54" t="n">
        <f aca="false">K27*(1-$E$14)+L26*$E$10</f>
        <v>27.99041727784</v>
      </c>
      <c r="M27" s="54" t="n">
        <f aca="false">L27*(1-$E$14)+M26*$E$10</f>
        <v>33.1261145914768</v>
      </c>
      <c r="N27" s="54" t="n">
        <f aca="false">M27*(1-$E$14)+N26*$E$10</f>
        <v>38.9806240924514</v>
      </c>
      <c r="O27" s="54" t="n">
        <f aca="false">N27*(1-$E$14)+O26*$E$10</f>
        <v>45.0504867771177</v>
      </c>
      <c r="P27" s="54" t="n">
        <f aca="false">O27*(1-$E$14)+P26*$E$10</f>
        <v>51.36147280481</v>
      </c>
      <c r="Q27" s="54" t="n">
        <f aca="false">P27*(1-$E$14)+Q26*$E$10</f>
        <v>57.9405679970095</v>
      </c>
      <c r="R27" s="54" t="n">
        <f aca="false">Q27*(1-$E$14)+R26*$E$10</f>
        <v>64.8160912873906</v>
      </c>
      <c r="S27" s="54" t="n">
        <f aca="false">R27*(1-$E$14)+S26*$E$10</f>
        <v>72.0178186139158</v>
      </c>
      <c r="T27" s="54" t="n">
        <f aca="false">S27*(1-$E$14)+T26*$E$10</f>
        <v>79.5771138017954</v>
      </c>
      <c r="U27" s="54" t="n">
        <f aca="false">T27*(1-$E$14)+U26*$E$10</f>
        <v>87.5270670191568</v>
      </c>
      <c r="V27" s="54" t="n">
        <f aca="false">U27*(1-$E$14)+V26*$E$10</f>
        <v>95.9026414229155</v>
      </c>
      <c r="W27" s="54" t="n">
        <f aca="false">V27*(1-$E$14)+W26*$E$10</f>
        <v>104.740828650754</v>
      </c>
      <c r="X27" s="54" t="n">
        <f aca="false">W27*(1-$E$14)+X26*$E$10</f>
        <v>114.080813856489</v>
      </c>
      <c r="Y27" s="54" t="n">
        <f aca="false">X27*(1-$E$14)+Y26*$E$10</f>
        <v>123.964151030615</v>
      </c>
      <c r="Z27" s="54" t="n">
        <f aca="false">Y27*(1-$E$14)+Z26*$E$10</f>
        <v>134.434949395701</v>
      </c>
    </row>
    <row r="28" customFormat="false" ht="15" hidden="false" customHeight="false" outlineLevel="0" collapsed="false">
      <c r="A28" s="50" t="s">
        <v>1194</v>
      </c>
      <c r="B28" s="58" t="n">
        <f aca="false">Z28</f>
        <v>87.0081060577722</v>
      </c>
      <c r="C28" s="54" t="n">
        <f aca="false">C26*$E$11</f>
        <v>0.96</v>
      </c>
      <c r="D28" s="54" t="n">
        <f aca="false">C28*(1-$E$15)+D26*$E$11</f>
        <v>2.02752</v>
      </c>
      <c r="E28" s="54" t="n">
        <f aca="false">D28*(1-$E$15)+E26*$E$11</f>
        <v>3.22007424</v>
      </c>
      <c r="F28" s="54" t="n">
        <f aca="false">E28*(1-$E$15)+F26*$E$11</f>
        <v>4.55775141888</v>
      </c>
      <c r="G28" s="54" t="n">
        <f aca="false">F28*(1-$E$15)+G26*$E$11</f>
        <v>6.06360286496256</v>
      </c>
      <c r="H28" s="54" t="n">
        <f aca="false">G28*(1-$E$15)+H26*$E$11</f>
        <v>7.76408885609398</v>
      </c>
      <c r="I28" s="54" t="n">
        <f aca="false">H28*(1-$E$15)+I26*$E$11</f>
        <v>9.68959181456241</v>
      </c>
      <c r="J28" s="54" t="n">
        <f aca="false">I28*(1-$E$15)+J26*$E$11</f>
        <v>11.875006410859</v>
      </c>
      <c r="K28" s="54" t="n">
        <f aca="false">J28*(1-$E$15)+K26*$E$11</f>
        <v>14.3604181152839</v>
      </c>
      <c r="L28" s="54" t="n">
        <f aca="false">K28*(1-$E$15)+L26*$E$11</f>
        <v>17.1918834671462</v>
      </c>
      <c r="M28" s="54" t="n">
        <f aca="false">L28*(1-$E$15)+M26*$E$11</f>
        <v>20.4223273216743</v>
      </c>
      <c r="N28" s="54" t="n">
        <f aca="false">M28*(1-$E$15)+N26*$E$11</f>
        <v>24.1125746236722</v>
      </c>
      <c r="O28" s="54" t="n">
        <f aca="false">N28*(1-$E$15)+O26*$E$11</f>
        <v>27.9752332300097</v>
      </c>
      <c r="P28" s="54" t="n">
        <f aca="false">O28*(1-$E$15)+P26*$E$11</f>
        <v>32.0256363602489</v>
      </c>
      <c r="Q28" s="54" t="n">
        <f aca="false">P28*(1-$E$15)+Q26*$E$11</f>
        <v>36.2800665110477</v>
      </c>
      <c r="R28" s="54" t="n">
        <f aca="false">Q28*(1-$E$15)+R26*$E$11</f>
        <v>40.7558266193902</v>
      </c>
      <c r="S28" s="54" t="n">
        <f aca="false">R28*(1-$E$15)+S26*$E$11</f>
        <v>45.4713160281191</v>
      </c>
      <c r="T28" s="54" t="n">
        <f aca="false">S28*(1-$E$15)+T26*$E$11</f>
        <v>50.446111596735</v>
      </c>
      <c r="U28" s="54" t="n">
        <f aca="false">T28*(1-$E$15)+U26*$E$11</f>
        <v>55.7010543241813</v>
      </c>
      <c r="V28" s="54" t="n">
        <f aca="false">U28*(1-$E$15)+V26*$E$11</f>
        <v>61.2583418757532</v>
      </c>
      <c r="W28" s="54" t="n">
        <f aca="false">V28*(1-$E$15)+W26*$E$11</f>
        <v>67.1416274334777</v>
      </c>
      <c r="X28" s="54" t="n">
        <f aca="false">W28*(1-$E$15)+X26*$E$11</f>
        <v>73.376125318439</v>
      </c>
      <c r="Y28" s="54" t="n">
        <f aca="false">X28*(1-$E$15)+Y26*$E$11</f>
        <v>79.988723864692</v>
      </c>
      <c r="Z28" s="54" t="n">
        <f aca="false">Y28*(1-$E$15)+Z26*$E$11</f>
        <v>87.0081060577722</v>
      </c>
    </row>
    <row r="29" customFormat="false" ht="15" hidden="false" customHeight="false" outlineLevel="0" collapsed="false">
      <c r="A29" s="50" t="s">
        <v>1195</v>
      </c>
      <c r="B29" s="58" t="n">
        <f aca="false">Z29</f>
        <v>34.3888205674127</v>
      </c>
      <c r="C29" s="54" t="n">
        <f aca="false">C26*$E$12</f>
        <v>0.36</v>
      </c>
      <c r="D29" s="54" t="n">
        <f aca="false">C29*(1-$E$16)+D26*$E$12</f>
        <v>0.7632</v>
      </c>
      <c r="E29" s="54" t="n">
        <f aca="false">D29*(1-$E$16)+E26*$E$12</f>
        <v>1.216404</v>
      </c>
      <c r="F29" s="54" t="n">
        <f aca="false">E29*(1-$E$16)+F26*$E$12</f>
        <v>1.72742688</v>
      </c>
      <c r="G29" s="54" t="n">
        <f aca="false">F29*(1-$E$16)+G26*$E$12</f>
        <v>2.3052463236</v>
      </c>
      <c r="H29" s="54" t="n">
        <f aca="false">G29*(1-$E$16)+H26*$E$12</f>
        <v>2.960177521392</v>
      </c>
      <c r="I29" s="54" t="n">
        <f aca="false">H29*(1-$E$16)+I26*$E$12</f>
        <v>3.70407407137524</v>
      </c>
      <c r="J29" s="54" t="n">
        <f aca="false">I29*(1-$E$16)+J26*$E$12</f>
        <v>4.55055900620273</v>
      </c>
      <c r="K29" s="54" t="n">
        <f aca="false">J29*(1-$E$16)+K26*$E$12</f>
        <v>5.51529046653071</v>
      </c>
      <c r="L29" s="54" t="n">
        <f aca="false">K29*(1-$E$16)+L26*$E$12</f>
        <v>6.61626721762596</v>
      </c>
      <c r="M29" s="54" t="n">
        <f aca="false">L29*(1-$E$16)+M26*$E$12</f>
        <v>7.87417998595203</v>
      </c>
      <c r="N29" s="54" t="n">
        <f aca="false">M29*(1-$E$16)+N26*$E$12</f>
        <v>9.31281548895654</v>
      </c>
      <c r="O29" s="54" t="n">
        <f aca="false">N29*(1-$E$16)+O26*$E$12</f>
        <v>10.8255321900517</v>
      </c>
      <c r="P29" s="54" t="n">
        <f aca="false">O29*(1-$E$16)+P26*$E$12</f>
        <v>12.4183144717175</v>
      </c>
      <c r="Q29" s="54" t="n">
        <f aca="false">P29*(1-$E$16)+Q26*$E$12</f>
        <v>14.0975416622491</v>
      </c>
      <c r="R29" s="54" t="n">
        <f aca="false">Q29*(1-$E$16)+R26*$E$12</f>
        <v>15.8700164007925</v>
      </c>
      <c r="S29" s="54" t="n">
        <f aca="false">R29*(1-$E$16)+S26*$E$12</f>
        <v>17.7429949663684</v>
      </c>
      <c r="T29" s="54" t="n">
        <f aca="false">S29*(1-$E$16)+T26*$E$12</f>
        <v>19.724219709009</v>
      </c>
      <c r="U29" s="54" t="n">
        <f aca="false">T29*(1-$E$16)+U26*$E$12</f>
        <v>21.8219537307845</v>
      </c>
      <c r="V29" s="54" t="n">
        <f aca="false">U29*(1-$E$16)+V26*$E$12</f>
        <v>24.0450179748201</v>
      </c>
      <c r="W29" s="54" t="n">
        <f aca="false">V29*(1-$E$16)+W26*$E$12</f>
        <v>26.4028308914516</v>
      </c>
      <c r="X29" s="54" t="n">
        <f aca="false">W29*(1-$E$16)+X26*$E$12</f>
        <v>28.9054508624956</v>
      </c>
      <c r="Y29" s="54" t="n">
        <f aca="false">X29*(1-$E$16)+Y26*$E$12</f>
        <v>31.5636215772534</v>
      </c>
      <c r="Z29" s="54" t="n">
        <f aca="false">Y29*(1-$E$16)+Z26*$E$12</f>
        <v>34.3888205674127</v>
      </c>
    </row>
    <row r="30" customFormat="false" ht="15" hidden="false" customHeight="false" outlineLevel="0" collapsed="false">
      <c r="A30" s="50" t="s">
        <v>1196</v>
      </c>
      <c r="B30" s="58" t="n">
        <f aca="false">Z30</f>
        <v>3.06729114224149</v>
      </c>
      <c r="C30" s="54" t="n">
        <f aca="false">C26*$E$13</f>
        <v>0.03</v>
      </c>
      <c r="D30" s="54" t="n">
        <f aca="false">C30*(1-$E$17)+D26*$E$13</f>
        <v>0.0639</v>
      </c>
      <c r="E30" s="54" t="n">
        <f aca="false">D30*(1-$E$17)+E26*$E$13</f>
        <v>0.102297</v>
      </c>
      <c r="F30" s="54" t="n">
        <f aca="false">E30*(1-$E$17)+F26*$E$13</f>
        <v>0.14587731</v>
      </c>
      <c r="G30" s="54" t="n">
        <f aca="false">F30*(1-$E$17)+G26*$E$13</f>
        <v>0.1954299513</v>
      </c>
      <c r="H30" s="54" t="n">
        <f aca="false">G30*(1-$E$17)+H26*$E$13</f>
        <v>0.251862067899</v>
      </c>
      <c r="I30" s="54" t="n">
        <f aca="false">H30*(1-$E$17)+I26*$E$13</f>
        <v>0.31621664950977</v>
      </c>
      <c r="J30" s="54" t="n">
        <f aca="false">I30*(1-$E$17)+J26*$E$13</f>
        <v>0.389692912933637</v>
      </c>
      <c r="K30" s="54" t="n">
        <f aca="false">J30*(1-$E$17)+K26*$E$13</f>
        <v>0.473669740551136</v>
      </c>
      <c r="L30" s="54" t="n">
        <f aca="false">K30*(1-$E$17)+L26*$E$13</f>
        <v>0.569732634497711</v>
      </c>
      <c r="M30" s="54" t="n">
        <f aca="false">L30*(1-$E$17)+M26*$E$13</f>
        <v>0.679704713878994</v>
      </c>
      <c r="N30" s="54" t="n">
        <f aca="false">M30*(1-$E$17)+N26*$E$13</f>
        <v>0.805682361483337</v>
      </c>
      <c r="O30" s="54" t="n">
        <f aca="false">N30*(1-$E$17)+O26*$E$13</f>
        <v>0.938910478067327</v>
      </c>
      <c r="P30" s="54" t="n">
        <f aca="false">O30*(1-$E$17)+P26*$E$13</f>
        <v>1.07992795578659</v>
      </c>
      <c r="Q30" s="54" t="n">
        <f aca="false">P30*(1-$E$17)+Q26*$E$13</f>
        <v>1.22931078206112</v>
      </c>
      <c r="R30" s="54" t="n">
        <f aca="false">Q30*(1-$E$17)+R26*$E$13</f>
        <v>1.38767464878747</v>
      </c>
      <c r="S30" s="54" t="n">
        <f aca="false">R30*(1-$E$17)+S26*$E$13</f>
        <v>1.55567774394503</v>
      </c>
      <c r="T30" s="54" t="n">
        <f aca="false">S30*(1-$E$17)+T26*$E$13</f>
        <v>1.73402373836876</v>
      </c>
      <c r="U30" s="54" t="n">
        <f aca="false">T30*(1-$E$17)+U26*$E$13</f>
        <v>1.92346498135521</v>
      </c>
      <c r="V30" s="54" t="n">
        <f aca="false">U30*(1-$E$17)+V26*$E$13</f>
        <v>2.12480591972469</v>
      </c>
      <c r="W30" s="54" t="n">
        <f aca="false">V30*(1-$E$17)+W26*$E$13</f>
        <v>2.33890675598655</v>
      </c>
      <c r="X30" s="54" t="n">
        <f aca="false">W30*(1-$E$17)+X26*$E$13</f>
        <v>2.56668736234911</v>
      </c>
      <c r="Y30" s="54" t="n">
        <f aca="false">X30*(1-$E$17)+Y26*$E$13</f>
        <v>2.80913146848818</v>
      </c>
      <c r="Z30" s="54" t="n">
        <f aca="false">Y30*(1-$E$17)+Z26*$E$13</f>
        <v>3.06729114224149</v>
      </c>
    </row>
    <row r="31" customFormat="false" ht="15" hidden="false" customHeight="false" outlineLevel="0" collapsed="false">
      <c r="A31" s="4" t="s">
        <v>1197</v>
      </c>
      <c r="B31" s="58" t="n">
        <f aca="false">Z31</f>
        <v>258.899167163127</v>
      </c>
      <c r="C31" s="58" t="n">
        <f aca="false">SUM(C27:C30)</f>
        <v>3</v>
      </c>
      <c r="D31" s="58" t="n">
        <f aca="false">SUM(D27:D30)</f>
        <v>6.31137</v>
      </c>
      <c r="E31" s="58" t="n">
        <f aca="false">SUM(E27:E30)</f>
        <v>9.98752899</v>
      </c>
      <c r="F31" s="58" t="n">
        <f aca="false">SUM(F27:F30)</f>
        <v>14.08957165263</v>
      </c>
      <c r="G31" s="58" t="n">
        <f aca="false">SUM(G27:G30)</f>
        <v>18.6874371137063</v>
      </c>
      <c r="H31" s="58" t="n">
        <f aca="false">SUM(H27:H30)</f>
        <v>23.8612520900423</v>
      </c>
      <c r="I31" s="58" t="n">
        <f aca="false">SUM(I27:I30)</f>
        <v>29.7028746429298</v>
      </c>
      <c r="J31" s="58" t="n">
        <f aca="false">SUM(J27:J30)</f>
        <v>36.3176686743397</v>
      </c>
      <c r="K31" s="58" t="n">
        <f aca="false">SUM(K27:K30)</f>
        <v>43.8265438209606</v>
      </c>
      <c r="L31" s="58" t="n">
        <f aca="false">SUM(L27:L30)</f>
        <v>52.3683005971099</v>
      </c>
      <c r="M31" s="58" t="n">
        <f aca="false">SUM(M27:M30)</f>
        <v>62.1023266129821</v>
      </c>
      <c r="N31" s="58" t="n">
        <f aca="false">SUM(N27:N30)</f>
        <v>73.2116965665634</v>
      </c>
      <c r="O31" s="58" t="n">
        <f aca="false">SUM(O27:O30)</f>
        <v>84.7901626752464</v>
      </c>
      <c r="P31" s="58" t="n">
        <f aca="false">SUM(P27:P30)</f>
        <v>96.885351592563</v>
      </c>
      <c r="Q31" s="58" t="n">
        <f aca="false">SUM(Q27:Q30)</f>
        <v>109.547486952367</v>
      </c>
      <c r="R31" s="58" t="n">
        <f aca="false">SUM(R27:R30)</f>
        <v>122.829608956361</v>
      </c>
      <c r="S31" s="58" t="n">
        <f aca="false">SUM(S27:S30)</f>
        <v>136.787807352348</v>
      </c>
      <c r="T31" s="58" t="n">
        <f aca="false">SUM(T27:T30)</f>
        <v>151.481468845908</v>
      </c>
      <c r="U31" s="58" t="n">
        <f aca="false">SUM(U27:U30)</f>
        <v>166.973540055478</v>
      </c>
      <c r="V31" s="58" t="n">
        <f aca="false">SUM(V27:V30)</f>
        <v>183.330807193213</v>
      </c>
      <c r="W31" s="58" t="n">
        <f aca="false">SUM(W27:W30)</f>
        <v>200.62419373167</v>
      </c>
      <c r="X31" s="58" t="n">
        <f aca="false">SUM(X27:X30)</f>
        <v>218.929077399773</v>
      </c>
      <c r="Y31" s="58" t="n">
        <f aca="false">SUM(Y27:Y30)</f>
        <v>238.325627941049</v>
      </c>
      <c r="Z31" s="58" t="n">
        <f aca="false">SUM(Z27:Z30)</f>
        <v>258.899167163127</v>
      </c>
    </row>
    <row r="32" customFormat="false" ht="15" hidden="false" customHeight="false" outlineLevel="0" collapsed="false">
      <c r="A32" s="50" t="s">
        <v>1198</v>
      </c>
      <c r="B32" s="2"/>
      <c r="C32" s="71" t="n">
        <f aca="false">MATCH(C31,'Fixed Costs'!$C$5:$F$5,1)</f>
        <v>1</v>
      </c>
      <c r="D32" s="71" t="n">
        <f aca="false">MATCH(D31,'Fixed Costs'!$C$5:$F$5,1)</f>
        <v>1</v>
      </c>
      <c r="E32" s="71" t="n">
        <f aca="false">MATCH(E31,'Fixed Costs'!$C$5:$F$5,1)</f>
        <v>1</v>
      </c>
      <c r="F32" s="71" t="n">
        <f aca="false">MATCH(F31,'Fixed Costs'!$C$5:$F$5,1)</f>
        <v>1</v>
      </c>
      <c r="G32" s="71" t="n">
        <f aca="false">MATCH(G31,'Fixed Costs'!$C$5:$F$5,1)</f>
        <v>1</v>
      </c>
      <c r="H32" s="71" t="n">
        <f aca="false">MATCH(H31,'Fixed Costs'!$C$5:$F$5,1)</f>
        <v>1</v>
      </c>
      <c r="I32" s="71" t="n">
        <f aca="false">MATCH(I31,'Fixed Costs'!$C$5:$F$5,1)</f>
        <v>2</v>
      </c>
      <c r="J32" s="71" t="n">
        <f aca="false">MATCH(J31,'Fixed Costs'!$C$5:$F$5,1)</f>
        <v>2</v>
      </c>
      <c r="K32" s="71" t="n">
        <f aca="false">MATCH(K31,'Fixed Costs'!$C$5:$F$5,1)</f>
        <v>2</v>
      </c>
      <c r="L32" s="71" t="n">
        <f aca="false">MATCH(L31,'Fixed Costs'!$C$5:$F$5,1)</f>
        <v>2</v>
      </c>
      <c r="M32" s="71" t="n">
        <f aca="false">MATCH(M31,'Fixed Costs'!$C$5:$F$5,1)</f>
        <v>2</v>
      </c>
      <c r="N32" s="71" t="n">
        <f aca="false">MATCH(N31,'Fixed Costs'!$C$5:$F$5,1)</f>
        <v>2</v>
      </c>
      <c r="O32" s="71" t="n">
        <f aca="false">MATCH(O31,'Fixed Costs'!$C$5:$F$5,1)</f>
        <v>2</v>
      </c>
      <c r="P32" s="71" t="n">
        <f aca="false">MATCH(P31,'Fixed Costs'!$C$5:$F$5,1)</f>
        <v>2</v>
      </c>
      <c r="Q32" s="71" t="n">
        <f aca="false">MATCH(Q31,'Fixed Costs'!$C$5:$F$5,1)</f>
        <v>2</v>
      </c>
      <c r="R32" s="71" t="n">
        <f aca="false">MATCH(R31,'Fixed Costs'!$C$5:$F$5,1)</f>
        <v>2</v>
      </c>
      <c r="S32" s="71" t="n">
        <f aca="false">MATCH(S31,'Fixed Costs'!$C$5:$F$5,1)</f>
        <v>2</v>
      </c>
      <c r="T32" s="71" t="n">
        <f aca="false">MATCH(T31,'Fixed Costs'!$C$5:$F$5,1)</f>
        <v>3</v>
      </c>
      <c r="U32" s="71" t="n">
        <f aca="false">MATCH(U31,'Fixed Costs'!$C$5:$F$5,1)</f>
        <v>3</v>
      </c>
      <c r="V32" s="71" t="n">
        <f aca="false">MATCH(V31,'Fixed Costs'!$C$5:$F$5,1)</f>
        <v>3</v>
      </c>
      <c r="W32" s="71" t="n">
        <f aca="false">MATCH(W31,'Fixed Costs'!$C$5:$F$5,1)</f>
        <v>3</v>
      </c>
      <c r="X32" s="71" t="n">
        <f aca="false">MATCH(X31,'Fixed Costs'!$C$5:$F$5,1)</f>
        <v>3</v>
      </c>
      <c r="Y32" s="71" t="n">
        <f aca="false">MATCH(Y31,'Fixed Costs'!$C$5:$F$5,1)</f>
        <v>3</v>
      </c>
      <c r="Z32" s="71" t="n">
        <f aca="false">MATCH(Z31,'Fixed Costs'!$C$5:$F$5,1)</f>
        <v>3</v>
      </c>
    </row>
    <row r="33" customFormat="false" ht="15" hidden="false" customHeight="false" outlineLevel="0" collapsed="false">
      <c r="A33" s="50" t="s">
        <v>1199</v>
      </c>
      <c r="B33" s="56" t="n">
        <f aca="false">SUM(C33:Z33)</f>
        <v>48735.0152566215</v>
      </c>
      <c r="C33" s="55" t="n">
        <f aca="false">C27*(Plans!$D$6*(1-Inputs!$B$32*Inputs!$B$31)*(1-$E$18))</f>
        <v>65.285687775</v>
      </c>
      <c r="D33" s="55" t="n">
        <f aca="false">D27*(Plans!$D$6*(1-Inputs!$B$32*Inputs!$B$31)*(1-$E$18))</f>
        <v>136.773515888625</v>
      </c>
      <c r="E33" s="55" t="n">
        <f aca="false">E27*(Plans!$D$6*(1-Inputs!$B$32*Inputs!$B$31)*(1-$E$18))</f>
        <v>215.591294597188</v>
      </c>
      <c r="F33" s="55" t="n">
        <f aca="false">F27*(Plans!$D$6*(1-Inputs!$B$32*Inputs!$B$31)*(1-$E$18))</f>
        <v>303.025143789146</v>
      </c>
      <c r="G33" s="55" t="n">
        <f aca="false">G27*(Plans!$D$6*(1-Inputs!$B$32*Inputs!$B$31)*(1-$E$18))</f>
        <v>400.543836834766</v>
      </c>
      <c r="H33" s="55" t="n">
        <f aca="false">H27*(Plans!$D$6*(1-Inputs!$B$32*Inputs!$B$31)*(1-$E$18))</f>
        <v>509.826763155981</v>
      </c>
      <c r="I33" s="55" t="n">
        <f aca="false">I27*(Plans!$D$6*(1-Inputs!$B$32*Inputs!$B$31)*(1-$E$18))</f>
        <v>632.796054131598</v>
      </c>
      <c r="J33" s="55" t="n">
        <f aca="false">J27*(Plans!$D$6*(1-Inputs!$B$32*Inputs!$B$31)*(1-$E$18))</f>
        <v>771.653498545936</v>
      </c>
      <c r="K33" s="55" t="n">
        <f aca="false">K27*(Plans!$D$6*(1-Inputs!$B$32*Inputs!$B$31)*(1-$E$18))</f>
        <v>928.922967626221</v>
      </c>
      <c r="L33" s="55" t="n">
        <f aca="false">L27*(Plans!$D$6*(1-Inputs!$B$32*Inputs!$B$31)*(1-$E$18))</f>
        <v>1107.49917763214</v>
      </c>
      <c r="M33" s="55" t="n">
        <f aca="false">M27*(Plans!$D$6*(1-Inputs!$B$32*Inputs!$B$31)*(1-$E$18))</f>
        <v>1310.70374207153</v>
      </c>
      <c r="N33" s="55" t="n">
        <f aca="false">N27*(Plans!$D$6*(1-Inputs!$B$32*Inputs!$B$31)*(1-$E$18))</f>
        <v>1542.34960834813</v>
      </c>
      <c r="O33" s="55" t="n">
        <f aca="false">O27*(Plans!$D$6*(1-Inputs!$B$32*Inputs!$B$31)*(1-$E$18))</f>
        <v>1782.51637202586</v>
      </c>
      <c r="P33" s="55" t="n">
        <f aca="false">P27*(Plans!$D$6*(1-Inputs!$B$32*Inputs!$B$31)*(1-$E$18))</f>
        <v>2032.22368315089</v>
      </c>
      <c r="Q33" s="55" t="n">
        <f aca="false">Q27*(Plans!$D$6*(1-Inputs!$B$32*Inputs!$B$31)*(1-$E$18))</f>
        <v>2292.5392919751</v>
      </c>
      <c r="R33" s="55" t="n">
        <f aca="false">R27*(Plans!$D$6*(1-Inputs!$B$32*Inputs!$B$31)*(1-$E$18))</f>
        <v>2564.58369611181</v>
      </c>
      <c r="S33" s="55" t="n">
        <f aca="false">S27*(Plans!$D$6*(1-Inputs!$B$32*Inputs!$B$31)*(1-$E$18))</f>
        <v>2849.53504258466</v>
      </c>
      <c r="T33" s="55" t="n">
        <f aca="false">T27*(Plans!$D$6*(1-Inputs!$B$32*Inputs!$B$31)*(1-$E$18))</f>
        <v>3148.63430648464</v>
      </c>
      <c r="U33" s="55" t="n">
        <f aca="false">U27*(Plans!$D$6*(1-Inputs!$B$32*Inputs!$B$31)*(1-$E$18))</f>
        <v>3463.19076925707</v>
      </c>
      <c r="V33" s="55" t="n">
        <f aca="false">V27*(Plans!$D$6*(1-Inputs!$B$32*Inputs!$B$31)*(1-$E$18))</f>
        <v>3794.58782105106</v>
      </c>
      <c r="W33" s="55" t="n">
        <f aca="false">W27*(Plans!$D$6*(1-Inputs!$B$32*Inputs!$B$31)*(1-$E$18))</f>
        <v>4144.28911308359</v>
      </c>
      <c r="X33" s="55" t="n">
        <f aca="false">X27*(Plans!$D$6*(1-Inputs!$B$32*Inputs!$B$31)*(1-$E$18))</f>
        <v>4513.84508760766</v>
      </c>
      <c r="Y33" s="55" t="n">
        <f aca="false">Y27*(Plans!$D$6*(1-Inputs!$B$32*Inputs!$B$31)*(1-$E$18))</f>
        <v>4904.89991483496</v>
      </c>
      <c r="Z33" s="55" t="n">
        <f aca="false">Z27*(Plans!$D$6*(1-Inputs!$B$32*Inputs!$B$31)*(1-$E$18))</f>
        <v>5319.19886805796</v>
      </c>
    </row>
    <row r="34" customFormat="false" ht="15" hidden="false" customHeight="false" outlineLevel="0" collapsed="false">
      <c r="A34" s="50" t="s">
        <v>1200</v>
      </c>
      <c r="B34" s="56" t="n">
        <f aca="false">SUM(C34:Z34)</f>
        <v>93807.3197266471</v>
      </c>
      <c r="C34" s="55" t="n">
        <f aca="false">C28*(Plans!$E$6*(1-Inputs!$B$32*Inputs!$B$31)*(1-$E$18))</f>
        <v>115.50358416</v>
      </c>
      <c r="D34" s="55" t="n">
        <f aca="false">D28*(Plans!$E$6*(1-Inputs!$B$32*Inputs!$B$31)*(1-$E$18))</f>
        <v>243.94356974592</v>
      </c>
      <c r="E34" s="55" t="n">
        <f aca="false">E28*(Plans!$E$6*(1-Inputs!$B$32*Inputs!$B$31)*(1-$E$18))</f>
        <v>387.427204147175</v>
      </c>
      <c r="F34" s="55" t="n">
        <f aca="false">F28*(Plans!$E$6*(1-Inputs!$B$32*Inputs!$B$31)*(1-$E$18))</f>
        <v>548.371483948922</v>
      </c>
      <c r="G34" s="55" t="n">
        <f aca="false">G28*(Plans!$E$6*(1-Inputs!$B$32*Inputs!$B$31)*(1-$E$18))</f>
        <v>729.549858152104</v>
      </c>
      <c r="H34" s="55" t="n">
        <f aca="false">H28*(Plans!$E$6*(1-Inputs!$B$32*Inputs!$B$31)*(1-$E$18))</f>
        <v>934.145927724551</v>
      </c>
      <c r="I34" s="55" t="n">
        <f aca="false">I28*(Plans!$E$6*(1-Inputs!$B$32*Inputs!$B$31)*(1-$E$18))</f>
        <v>1165.81519128058</v>
      </c>
      <c r="J34" s="55" t="n">
        <f aca="false">J28*(Plans!$E$6*(1-Inputs!$B$32*Inputs!$B$31)*(1-$E$18))</f>
        <v>1428.75604414291</v>
      </c>
      <c r="K34" s="55" t="n">
        <f aca="false">K28*(Plans!$E$6*(1-Inputs!$B$32*Inputs!$B$31)*(1-$E$18))</f>
        <v>1727.79141911613</v>
      </c>
      <c r="L34" s="55" t="n">
        <f aca="false">L28*(Plans!$E$6*(1-Inputs!$B$32*Inputs!$B$31)*(1-$E$18))</f>
        <v>2068.46266553795</v>
      </c>
      <c r="M34" s="55" t="n">
        <f aca="false">M28*(Plans!$E$6*(1-Inputs!$B$32*Inputs!$B$31)*(1-$E$18))</f>
        <v>2457.13750264799</v>
      </c>
      <c r="N34" s="55" t="n">
        <f aca="false">N28*(Plans!$E$6*(1-Inputs!$B$32*Inputs!$B$31)*(1-$E$18))</f>
        <v>2901.13415870791</v>
      </c>
      <c r="O34" s="55" t="n">
        <f aca="false">O28*(Plans!$E$6*(1-Inputs!$B$32*Inputs!$B$31)*(1-$E$18))</f>
        <v>3365.8746935188</v>
      </c>
      <c r="P34" s="55" t="n">
        <f aca="false">P28*(Plans!$E$6*(1-Inputs!$B$32*Inputs!$B$31)*(1-$E$18))</f>
        <v>3853.2039423058</v>
      </c>
      <c r="Q34" s="55" t="n">
        <f aca="false">Q28*(Plans!$E$6*(1-Inputs!$B$32*Inputs!$B$31)*(1-$E$18))</f>
        <v>4365.08095373874</v>
      </c>
      <c r="R34" s="55" t="n">
        <f aca="false">R28*(Plans!$E$6*(1-Inputs!$B$32*Inputs!$B$31)*(1-$E$18))</f>
        <v>4903.58755202407</v>
      </c>
      <c r="S34" s="55" t="n">
        <f aca="false">S28*(Plans!$E$6*(1-Inputs!$B$32*Inputs!$B$31)*(1-$E$18))</f>
        <v>5470.93747679148</v>
      </c>
      <c r="T34" s="55" t="n">
        <f aca="false">T28*(Plans!$E$6*(1-Inputs!$B$32*Inputs!$B$31)*(1-$E$18))</f>
        <v>6069.48614203982</v>
      </c>
      <c r="U34" s="55" t="n">
        <f aca="false">U28*(Plans!$E$6*(1-Inputs!$B$32*Inputs!$B$31)*(1-$E$18))</f>
        <v>6701.74105826438</v>
      </c>
      <c r="V34" s="55" t="n">
        <f aca="false">V28*(Plans!$E$6*(1-Inputs!$B$32*Inputs!$B$31)*(1-$E$18))</f>
        <v>7370.37296494595</v>
      </c>
      <c r="W34" s="55" t="n">
        <f aca="false">W28*(Plans!$E$6*(1-Inputs!$B$32*Inputs!$B$31)*(1-$E$18))</f>
        <v>8078.22772385631</v>
      </c>
      <c r="X34" s="55" t="n">
        <f aca="false">X28*(Plans!$E$6*(1-Inputs!$B$32*Inputs!$B$31)*(1-$E$18))</f>
        <v>8828.33902713856</v>
      </c>
      <c r="Y34" s="55" t="n">
        <f aca="false">Y28*(Plans!$E$6*(1-Inputs!$B$32*Inputs!$B$31)*(1-$E$18))</f>
        <v>9623.94197787131</v>
      </c>
      <c r="Z34" s="55" t="n">
        <f aca="false">Z28*(Plans!$E$6*(1-Inputs!$B$32*Inputs!$B$31)*(1-$E$18))</f>
        <v>10468.4876048397</v>
      </c>
    </row>
    <row r="35" customFormat="false" ht="15" hidden="false" customHeight="false" outlineLevel="0" collapsed="false">
      <c r="A35" s="50" t="s">
        <v>1201</v>
      </c>
      <c r="B35" s="56" t="n">
        <f aca="false">SUM(C35:Z35)</f>
        <v>110477.489161538</v>
      </c>
      <c r="C35" s="55" t="n">
        <f aca="false">C29*(Plans!$F$6*(1-Inputs!$B$32*Inputs!$B$31)*(1-$E$18))</f>
        <v>130.52292606</v>
      </c>
      <c r="D35" s="55" t="n">
        <f aca="false">D29*(Plans!$F$6*(1-Inputs!$B$32*Inputs!$B$31)*(1-$E$18))</f>
        <v>276.7086032472</v>
      </c>
      <c r="E35" s="55" t="n">
        <f aca="false">E29*(Plans!$F$6*(1-Inputs!$B$32*Inputs!$B$31)*(1-$E$18))</f>
        <v>441.023914864134</v>
      </c>
      <c r="F35" s="55" t="n">
        <f aca="false">F29*(Plans!$F$6*(1-Inputs!$B$32*Inputs!$B$31)*(1-$E$18))</f>
        <v>626.302252589712</v>
      </c>
      <c r="G35" s="55" t="n">
        <f aca="false">G29*(Plans!$F$6*(1-Inputs!$B$32*Inputs!$B$31)*(1-$E$18))</f>
        <v>835.798598459249</v>
      </c>
      <c r="H35" s="55" t="n">
        <f aca="false">H29*(Plans!$F$6*(1-Inputs!$B$32*Inputs!$B$31)*(1-$E$18))</f>
        <v>1073.25286596978</v>
      </c>
      <c r="I35" s="55" t="n">
        <f aca="false">I29*(Plans!$F$6*(1-Inputs!$B$32*Inputs!$B$31)*(1-$E$18))</f>
        <v>1342.96273927465</v>
      </c>
      <c r="J35" s="55" t="n">
        <f aca="false">J29*(Plans!$F$6*(1-Inputs!$B$32*Inputs!$B$31)*(1-$E$18))</f>
        <v>1649.86743527296</v>
      </c>
      <c r="K35" s="55" t="n">
        <f aca="false">K29*(Plans!$F$6*(1-Inputs!$B$32*Inputs!$B$31)*(1-$E$18))</f>
        <v>1999.64402711781</v>
      </c>
      <c r="L35" s="55" t="n">
        <f aca="false">L29*(Plans!$F$6*(1-Inputs!$B$32*Inputs!$B$31)*(1-$E$18))</f>
        <v>2398.81821344276</v>
      </c>
      <c r="M35" s="55" t="n">
        <f aca="false">M29*(Plans!$F$6*(1-Inputs!$B$32*Inputs!$B$31)*(1-$E$18))</f>
        <v>2854.89170024874</v>
      </c>
      <c r="N35" s="55" t="n">
        <f aca="false">N29*(Plans!$F$6*(1-Inputs!$B$32*Inputs!$B$31)*(1-$E$18))</f>
        <v>3376.48868743194</v>
      </c>
      <c r="O35" s="55" t="n">
        <f aca="false">O29*(Plans!$F$6*(1-Inputs!$B$32*Inputs!$B$31)*(1-$E$18))</f>
        <v>3924.94482667298</v>
      </c>
      <c r="P35" s="55" t="n">
        <f aca="false">P29*(Plans!$F$6*(1-Inputs!$B$32*Inputs!$B$31)*(1-$E$18))</f>
        <v>4502.42983772727</v>
      </c>
      <c r="Q35" s="55" t="n">
        <f aca="false">Q29*(Plans!$F$6*(1-Inputs!$B$32*Inputs!$B$31)*(1-$E$18))</f>
        <v>5111.25663335974</v>
      </c>
      <c r="R35" s="55" t="n">
        <f aca="false">R29*(Plans!$F$6*(1-Inputs!$B$32*Inputs!$B$31)*(1-$E$18))</f>
        <v>5753.89160347674</v>
      </c>
      <c r="S35" s="55" t="n">
        <f aca="false">S29*(Plans!$F$6*(1-Inputs!$B$32*Inputs!$B$31)*(1-$E$18))</f>
        <v>6432.96561132848</v>
      </c>
      <c r="T35" s="55" t="n">
        <f aca="false">T29*(Plans!$F$6*(1-Inputs!$B$32*Inputs!$B$31)*(1-$E$18))</f>
        <v>7151.28575186159</v>
      </c>
      <c r="U35" s="55" t="n">
        <f aca="false">U29*(Plans!$F$6*(1-Inputs!$B$32*Inputs!$B$31)*(1-$E$18))</f>
        <v>7911.84792579981</v>
      </c>
      <c r="V35" s="55" t="n">
        <f aca="false">V29*(Plans!$F$6*(1-Inputs!$B$32*Inputs!$B$31)*(1-$E$18))</f>
        <v>8717.85028677447</v>
      </c>
      <c r="W35" s="55" t="n">
        <f aca="false">W29*(Plans!$F$6*(1-Inputs!$B$32*Inputs!$B$31)*(1-$E$18))</f>
        <v>9572.7076228323</v>
      </c>
      <c r="X35" s="55" t="n">
        <f aca="false">X29*(Plans!$F$6*(1-Inputs!$B$32*Inputs!$B$31)*(1-$E$18))</f>
        <v>10480.0667379347</v>
      </c>
      <c r="Y35" s="55" t="n">
        <f aca="false">Y29*(Plans!$F$6*(1-Inputs!$B$32*Inputs!$B$31)*(1-$E$18))</f>
        <v>11443.8229036491</v>
      </c>
      <c r="Z35" s="55" t="n">
        <f aca="false">Z29*(Plans!$F$6*(1-Inputs!$B$32*Inputs!$B$31)*(1-$E$18))</f>
        <v>12468.1374561417</v>
      </c>
    </row>
    <row r="36" customFormat="false" ht="15" hidden="false" customHeight="false" outlineLevel="0" collapsed="false">
      <c r="A36" s="50" t="s">
        <v>1202</v>
      </c>
      <c r="B36" s="56" t="n">
        <f aca="false">SUM(C36:Z36)</f>
        <v>25927.8044124468</v>
      </c>
      <c r="C36" s="55" t="n">
        <f aca="false">C30*(Plans!$G$6*(1-Inputs!$B$32*Inputs!$B$31)*(1-$E$18))</f>
        <v>29.045469255</v>
      </c>
      <c r="D36" s="55" t="n">
        <f aca="false">D30*(Plans!$G$6*(1-Inputs!$B$32*Inputs!$B$31)*(1-$E$18))</f>
        <v>61.86684951315</v>
      </c>
      <c r="E36" s="55" t="n">
        <f aca="false">E30*(Plans!$G$6*(1-Inputs!$B$32*Inputs!$B$31)*(1-$E$18))</f>
        <v>99.0421456126245</v>
      </c>
      <c r="F36" s="55" t="n">
        <f aca="false">F30*(Plans!$G$6*(1-Inputs!$B$32*Inputs!$B$31)*(1-$E$18))</f>
        <v>141.23583075357</v>
      </c>
      <c r="G36" s="55" t="n">
        <f aca="false">G30*(Plans!$G$6*(1-Inputs!$B$32*Inputs!$B$31)*(1-$E$18))</f>
        <v>189.211821399677</v>
      </c>
      <c r="H36" s="55" t="n">
        <f aca="false">H30*(Plans!$G$6*(1-Inputs!$B$32*Inputs!$B$31)*(1-$E$18))</f>
        <v>243.848398322038</v>
      </c>
      <c r="I36" s="55" t="n">
        <f aca="false">I30*(Plans!$G$6*(1-Inputs!$B$32*Inputs!$B$31)*(1-$E$18))</f>
        <v>306.155365708504</v>
      </c>
      <c r="J36" s="55" t="n">
        <f aca="false">J30*(Plans!$G$6*(1-Inputs!$B$32*Inputs!$B$31)*(1-$E$18))</f>
        <v>377.293784050178</v>
      </c>
      <c r="K36" s="55" t="n">
        <f aca="false">K30*(Plans!$G$6*(1-Inputs!$B$32*Inputs!$B$31)*(1-$E$18))</f>
        <v>458.598662873395</v>
      </c>
      <c r="L36" s="55" t="n">
        <f aca="false">L30*(Plans!$G$6*(1-Inputs!$B$32*Inputs!$B$31)*(1-$E$18))</f>
        <v>551.60505729578</v>
      </c>
      <c r="M36" s="55" t="n">
        <f aca="false">M30*(Plans!$G$6*(1-Inputs!$B$32*Inputs!$B$31)*(1-$E$18))</f>
        <v>658.078078981696</v>
      </c>
      <c r="N36" s="55" t="n">
        <f aca="false">N30*(Plans!$G$6*(1-Inputs!$B$32*Inputs!$B$31)*(1-$E$18))</f>
        <v>780.047408658668</v>
      </c>
      <c r="O36" s="55" t="n">
        <f aca="false">O30*(Plans!$G$6*(1-Inputs!$B$32*Inputs!$B$31)*(1-$E$18))</f>
        <v>909.036514130064</v>
      </c>
      <c r="P36" s="55" t="n">
        <f aca="false">P30*(Plans!$G$6*(1-Inputs!$B$32*Inputs!$B$31)*(1-$E$18))</f>
        <v>1045.56714124715</v>
      </c>
      <c r="Q36" s="55" t="n">
        <f aca="false">Q30*(Plans!$G$6*(1-Inputs!$B$32*Inputs!$B$31)*(1-$E$18))</f>
        <v>1190.19695083987</v>
      </c>
      <c r="R36" s="55" t="n">
        <f aca="false">R30*(Plans!$G$6*(1-Inputs!$B$32*Inputs!$B$31)*(1-$E$18))</f>
        <v>1343.52204490998</v>
      </c>
      <c r="S36" s="55" t="n">
        <f aca="false">S30*(Plans!$G$6*(1-Inputs!$B$32*Inputs!$B$31)*(1-$E$18))</f>
        <v>1506.17966941477</v>
      </c>
      <c r="T36" s="55" t="n">
        <f aca="false">T30*(Plans!$G$6*(1-Inputs!$B$32*Inputs!$B$31)*(1-$E$18))</f>
        <v>1678.85110600767</v>
      </c>
      <c r="U36" s="55" t="n">
        <f aca="false">U30*(Plans!$G$6*(1-Inputs!$B$32*Inputs!$B$31)*(1-$E$18))</f>
        <v>1862.26476596739</v>
      </c>
      <c r="V36" s="55" t="n">
        <f aca="false">V30*(Plans!$G$6*(1-Inputs!$B$32*Inputs!$B$31)*(1-$E$18))</f>
        <v>2057.19950047352</v>
      </c>
      <c r="W36" s="55" t="n">
        <f aca="false">W30*(Plans!$G$6*(1-Inputs!$B$32*Inputs!$B$31)*(1-$E$18))</f>
        <v>2264.4881423773</v>
      </c>
      <c r="X36" s="55" t="n">
        <f aca="false">X30*(Plans!$G$6*(1-Inputs!$B$32*Inputs!$B$31)*(1-$E$18))</f>
        <v>2485.02129567693</v>
      </c>
      <c r="Y36" s="55" t="n">
        <f aca="false">Y30*(Plans!$G$6*(1-Inputs!$B$32*Inputs!$B$31)*(1-$E$18))</f>
        <v>2719.75139004088</v>
      </c>
      <c r="Z36" s="55" t="n">
        <f aca="false">Z30*(Plans!$G$6*(1-Inputs!$B$32*Inputs!$B$31)*(1-$E$18))</f>
        <v>2969.69701893697</v>
      </c>
    </row>
    <row r="37" customFormat="false" ht="15" hidden="false" customHeight="false" outlineLevel="0" collapsed="false">
      <c r="A37" s="4" t="s">
        <v>1203</v>
      </c>
      <c r="B37" s="56" t="n">
        <f aca="false">SUM(C37:Z37)</f>
        <v>278947.628557253</v>
      </c>
      <c r="C37" s="56" t="n">
        <f aca="false">SUM(C33:C36)</f>
        <v>340.35766725</v>
      </c>
      <c r="D37" s="56" t="n">
        <f aca="false">SUM(D33:D36)</f>
        <v>719.292538394895</v>
      </c>
      <c r="E37" s="56" t="n">
        <f aca="false">SUM(E33:E36)</f>
        <v>1143.08455922112</v>
      </c>
      <c r="F37" s="56" t="n">
        <f aca="false">SUM(F33:F36)</f>
        <v>1618.93471108135</v>
      </c>
      <c r="G37" s="56" t="n">
        <f aca="false">SUM(G33:G36)</f>
        <v>2155.1041148458</v>
      </c>
      <c r="H37" s="56" t="n">
        <f aca="false">SUM(H33:H36)</f>
        <v>2761.07395517235</v>
      </c>
      <c r="I37" s="56" t="n">
        <f aca="false">SUM(I33:I36)</f>
        <v>3447.72935039533</v>
      </c>
      <c r="J37" s="56" t="n">
        <f aca="false">SUM(J33:J36)</f>
        <v>4227.57076201199</v>
      </c>
      <c r="K37" s="56" t="n">
        <f aca="false">SUM(K33:K36)</f>
        <v>5114.95707673355</v>
      </c>
      <c r="L37" s="56" t="n">
        <f aca="false">SUM(L33:L36)</f>
        <v>6126.38511390864</v>
      </c>
      <c r="M37" s="56" t="n">
        <f aca="false">SUM(M33:M36)</f>
        <v>7280.81102394996</v>
      </c>
      <c r="N37" s="56" t="n">
        <f aca="false">SUM(N33:N36)</f>
        <v>8600.01986314665</v>
      </c>
      <c r="O37" s="56" t="n">
        <f aca="false">SUM(O33:O36)</f>
        <v>9982.3724063477</v>
      </c>
      <c r="P37" s="56" t="n">
        <f aca="false">SUM(P33:P36)</f>
        <v>11433.4246044311</v>
      </c>
      <c r="Q37" s="56" t="n">
        <f aca="false">SUM(Q33:Q36)</f>
        <v>12959.0738299135</v>
      </c>
      <c r="R37" s="56" t="n">
        <f aca="false">SUM(R33:R36)</f>
        <v>14565.5848965226</v>
      </c>
      <c r="S37" s="56" t="n">
        <f aca="false">SUM(S33:S36)</f>
        <v>16259.6178001194</v>
      </c>
      <c r="T37" s="56" t="n">
        <f aca="false">SUM(T33:T36)</f>
        <v>18048.2573063937</v>
      </c>
      <c r="U37" s="56" t="n">
        <f aca="false">SUM(U33:U36)</f>
        <v>19939.0445192887</v>
      </c>
      <c r="V37" s="56" t="n">
        <f aca="false">SUM(V33:V36)</f>
        <v>21940.010573245</v>
      </c>
      <c r="W37" s="56" t="n">
        <f aca="false">SUM(W33:W36)</f>
        <v>24059.7126021495</v>
      </c>
      <c r="X37" s="56" t="n">
        <f aca="false">SUM(X33:X36)</f>
        <v>26307.2721483578</v>
      </c>
      <c r="Y37" s="56" t="n">
        <f aca="false">SUM(Y33:Y36)</f>
        <v>28692.4161863962</v>
      </c>
      <c r="Z37" s="56" t="n">
        <f aca="false">SUM(Z33:Z36)</f>
        <v>31225.5209479763</v>
      </c>
    </row>
    <row r="38" customFormat="false" ht="15" hidden="false" customHeight="false" outlineLevel="0" collapsed="false">
      <c r="A38" s="50" t="s">
        <v>1204</v>
      </c>
      <c r="B38" s="56" t="n">
        <f aca="false">SUM(C38:Z38)</f>
        <v>33473.7154268704</v>
      </c>
      <c r="C38" s="55" t="n">
        <f aca="false">C37*$E$19</f>
        <v>40.84292007</v>
      </c>
      <c r="D38" s="55" t="n">
        <f aca="false">D37*$E$19</f>
        <v>86.3151046073874</v>
      </c>
      <c r="E38" s="55" t="n">
        <f aca="false">E37*$E$19</f>
        <v>137.170147106535</v>
      </c>
      <c r="F38" s="55" t="n">
        <f aca="false">F37*$E$19</f>
        <v>194.272165329762</v>
      </c>
      <c r="G38" s="55" t="n">
        <f aca="false">G37*$E$19</f>
        <v>258.612493781495</v>
      </c>
      <c r="H38" s="55" t="n">
        <f aca="false">H37*$E$19</f>
        <v>331.328874620682</v>
      </c>
      <c r="I38" s="55" t="n">
        <f aca="false">I37*$E$19</f>
        <v>413.72752204744</v>
      </c>
      <c r="J38" s="55" t="n">
        <f aca="false">J37*$E$19</f>
        <v>507.308491441438</v>
      </c>
      <c r="K38" s="55" t="n">
        <f aca="false">K37*$E$19</f>
        <v>613.794849208026</v>
      </c>
      <c r="L38" s="55" t="n">
        <f aca="false">L37*$E$19</f>
        <v>735.166213669036</v>
      </c>
      <c r="M38" s="55" t="n">
        <f aca="false">M37*$E$19</f>
        <v>873.697322873995</v>
      </c>
      <c r="N38" s="55" t="n">
        <f aca="false">N37*$E$19</f>
        <v>1032.0023835776</v>
      </c>
      <c r="O38" s="55" t="n">
        <f aca="false">O37*$E$19</f>
        <v>1197.88468876172</v>
      </c>
      <c r="P38" s="55" t="n">
        <f aca="false">P37*$E$19</f>
        <v>1372.01095253173</v>
      </c>
      <c r="Q38" s="55" t="n">
        <f aca="false">Q37*$E$19</f>
        <v>1555.08885958962</v>
      </c>
      <c r="R38" s="55" t="n">
        <f aca="false">R37*$E$19</f>
        <v>1747.87018758271</v>
      </c>
      <c r="S38" s="55" t="n">
        <f aca="false">S37*$E$19</f>
        <v>1951.15413601433</v>
      </c>
      <c r="T38" s="55" t="n">
        <f aca="false">T37*$E$19</f>
        <v>2165.79087676725</v>
      </c>
      <c r="U38" s="55" t="n">
        <f aca="false">U37*$E$19</f>
        <v>2392.68534231464</v>
      </c>
      <c r="V38" s="55" t="n">
        <f aca="false">V37*$E$19</f>
        <v>2632.8012687894</v>
      </c>
      <c r="W38" s="55" t="n">
        <f aca="false">W37*$E$19</f>
        <v>2887.16551225794</v>
      </c>
      <c r="X38" s="55" t="n">
        <f aca="false">X37*$E$19</f>
        <v>3156.87265780294</v>
      </c>
      <c r="Y38" s="55" t="n">
        <f aca="false">Y37*$E$19</f>
        <v>3443.08994236755</v>
      </c>
      <c r="Z38" s="55" t="n">
        <f aca="false">Z37*$E$19</f>
        <v>3747.06251375716</v>
      </c>
    </row>
    <row r="39" customFormat="false" ht="15" hidden="false" customHeight="false" outlineLevel="0" collapsed="false">
      <c r="A39" s="50" t="s">
        <v>1205</v>
      </c>
      <c r="B39" s="56" t="n">
        <f aca="false">SUM(C39:Z39)</f>
        <v>23428.7087062037</v>
      </c>
      <c r="C39" s="55" t="n">
        <f aca="false">C31*$E$20</f>
        <v>30</v>
      </c>
      <c r="D39" s="55" t="n">
        <f aca="false">D31*$E$20</f>
        <v>63.1137</v>
      </c>
      <c r="E39" s="55" t="n">
        <f aca="false">E31*$E$20</f>
        <v>99.8752899</v>
      </c>
      <c r="F39" s="55" t="n">
        <f aca="false">F31*$E$20</f>
        <v>140.8957165263</v>
      </c>
      <c r="G39" s="55" t="n">
        <f aca="false">G31*$E$20</f>
        <v>186.874371137063</v>
      </c>
      <c r="H39" s="55" t="n">
        <f aca="false">H31*$E$20</f>
        <v>238.612520900423</v>
      </c>
      <c r="I39" s="55" t="n">
        <f aca="false">I31*$E$20</f>
        <v>297.028746429298</v>
      </c>
      <c r="J39" s="55" t="n">
        <f aca="false">J31*$E$20</f>
        <v>363.176686743397</v>
      </c>
      <c r="K39" s="55" t="n">
        <f aca="false">K31*$E$20</f>
        <v>438.265438209606</v>
      </c>
      <c r="L39" s="55" t="n">
        <f aca="false">L31*$E$20</f>
        <v>523.683005971099</v>
      </c>
      <c r="M39" s="55" t="n">
        <f aca="false">M31*$E$20</f>
        <v>621.023266129821</v>
      </c>
      <c r="N39" s="55" t="n">
        <f aca="false">N31*$E$20</f>
        <v>732.116965665634</v>
      </c>
      <c r="O39" s="55" t="n">
        <f aca="false">O31*$E$20</f>
        <v>847.901626752464</v>
      </c>
      <c r="P39" s="55" t="n">
        <f aca="false">P31*$E$20</f>
        <v>968.85351592563</v>
      </c>
      <c r="Q39" s="55" t="n">
        <f aca="false">Q31*$E$20</f>
        <v>1095.47486952367</v>
      </c>
      <c r="R39" s="55" t="n">
        <f aca="false">R31*$E$20</f>
        <v>1228.29608956361</v>
      </c>
      <c r="S39" s="55" t="n">
        <f aca="false">S31*$E$20</f>
        <v>1367.87807352348</v>
      </c>
      <c r="T39" s="55" t="n">
        <f aca="false">T31*$E$20</f>
        <v>1514.81468845908</v>
      </c>
      <c r="U39" s="55" t="n">
        <f aca="false">U31*$E$20</f>
        <v>1669.73540055478</v>
      </c>
      <c r="V39" s="55" t="n">
        <f aca="false">V31*$E$20</f>
        <v>1833.30807193213</v>
      </c>
      <c r="W39" s="55" t="n">
        <f aca="false">W31*$E$20</f>
        <v>2006.2419373167</v>
      </c>
      <c r="X39" s="55" t="n">
        <f aca="false">X31*$E$20</f>
        <v>2189.29077399773</v>
      </c>
      <c r="Y39" s="55" t="n">
        <f aca="false">Y31*$E$20</f>
        <v>2383.25627941049</v>
      </c>
      <c r="Z39" s="55" t="n">
        <f aca="false">Z31*$E$20</f>
        <v>2588.99167163127</v>
      </c>
    </row>
    <row r="40" customFormat="false" ht="15" hidden="false" customHeight="false" outlineLevel="0" collapsed="false">
      <c r="A40" s="4" t="s">
        <v>1206</v>
      </c>
      <c r="B40" s="56" t="n">
        <f aca="false">SUM(C40:Z40)</f>
        <v>335850.052690327</v>
      </c>
      <c r="C40" s="56" t="n">
        <f aca="false">C37+C38+C39</f>
        <v>411.20058732</v>
      </c>
      <c r="D40" s="56" t="n">
        <f aca="false">D37+D38+D39</f>
        <v>868.721343002282</v>
      </c>
      <c r="E40" s="56" t="n">
        <f aca="false">E37+E38+E39</f>
        <v>1380.12999622766</v>
      </c>
      <c r="F40" s="56" t="n">
        <f aca="false">F37+F38+F39</f>
        <v>1954.10259293741</v>
      </c>
      <c r="G40" s="56" t="n">
        <f aca="false">G37+G38+G39</f>
        <v>2600.59097976435</v>
      </c>
      <c r="H40" s="56" t="n">
        <f aca="false">H37+H38+H39</f>
        <v>3331.01535069346</v>
      </c>
      <c r="I40" s="56" t="n">
        <f aca="false">I37+I38+I39</f>
        <v>4158.48561887207</v>
      </c>
      <c r="J40" s="56" t="n">
        <f aca="false">J37+J38+J39</f>
        <v>5098.05594019682</v>
      </c>
      <c r="K40" s="56" t="n">
        <f aca="false">K37+K38+K39</f>
        <v>6167.01736415118</v>
      </c>
      <c r="L40" s="56" t="n">
        <f aca="false">L37+L38+L39</f>
        <v>7385.23433354877</v>
      </c>
      <c r="M40" s="56" t="n">
        <f aca="false">M37+M38+M39</f>
        <v>8775.53161295378</v>
      </c>
      <c r="N40" s="56" t="n">
        <f aca="false">N37+N38+N39</f>
        <v>10364.1392123899</v>
      </c>
      <c r="O40" s="56" t="n">
        <f aca="false">O37+O38+O39</f>
        <v>12028.1587218619</v>
      </c>
      <c r="P40" s="56" t="n">
        <f aca="false">P37+P38+P39</f>
        <v>13774.2890728885</v>
      </c>
      <c r="Q40" s="56" t="n">
        <f aca="false">Q37+Q38+Q39</f>
        <v>15609.6375590268</v>
      </c>
      <c r="R40" s="56" t="n">
        <f aca="false">R37+R38+R39</f>
        <v>17541.7511736689</v>
      </c>
      <c r="S40" s="56" t="n">
        <f aca="false">S37+S38+S39</f>
        <v>19578.6500096572</v>
      </c>
      <c r="T40" s="56" t="n">
        <f aca="false">T37+T38+T39</f>
        <v>21728.86287162</v>
      </c>
      <c r="U40" s="56" t="n">
        <f aca="false">U37+U38+U39</f>
        <v>24001.4652621581</v>
      </c>
      <c r="V40" s="56" t="n">
        <f aca="false">V37+V38+V39</f>
        <v>26406.1199139665</v>
      </c>
      <c r="W40" s="56" t="n">
        <f aca="false">W37+W38+W39</f>
        <v>28953.1200517241</v>
      </c>
      <c r="X40" s="56" t="n">
        <f aca="false">X37+X38+X39</f>
        <v>31653.4355801585</v>
      </c>
      <c r="Y40" s="56" t="n">
        <f aca="false">Y37+Y38+Y39</f>
        <v>34518.7624081742</v>
      </c>
      <c r="Z40" s="56" t="n">
        <f aca="false">Z37+Z38+Z39</f>
        <v>37561.5751333648</v>
      </c>
    </row>
    <row r="41" customFormat="false" ht="15" hidden="false" customHeight="false" outlineLevel="0" collapsed="false">
      <c r="A41" s="50" t="s">
        <v>1207</v>
      </c>
      <c r="B41" s="56" t="n">
        <f aca="false">SUM(C41:Z41)</f>
        <v>88646.5782493265</v>
      </c>
      <c r="C41" s="55" t="n">
        <f aca="false">C27*Plans!$D$54+C28*Plans!$E$54+C29*Plans!$F$54+C30*Plans!$G$54</f>
        <v>107.934398779329</v>
      </c>
      <c r="D41" s="55" t="n">
        <f aca="false">D27*Plans!$D$54+D28*Plans!$E$54+D29*Plans!$F$54+D30*Plans!$G$54</f>
        <v>228.146620372326</v>
      </c>
      <c r="E41" s="55" t="n">
        <f aca="false">E27*Plans!$D$54+E28*Plans!$E$54+E29*Plans!$F$54+E30*Plans!$G$54</f>
        <v>362.631594771819</v>
      </c>
      <c r="F41" s="55" t="n">
        <f aca="false">F27*Plans!$D$54+F28*Plans!$E$54+F29*Plans!$F$54+F30*Plans!$G$54</f>
        <v>513.677032071504</v>
      </c>
      <c r="G41" s="55" t="n">
        <f aca="false">G27*Plans!$D$54+G28*Plans!$E$54+G29*Plans!$F$54+G30*Plans!$G$54</f>
        <v>683.907630069653</v>
      </c>
      <c r="H41" s="55" t="n">
        <f aca="false">H27*Plans!$D$54+H28*Plans!$E$54+H29*Plans!$F$54+H30*Plans!$G$54</f>
        <v>876.335899210236</v>
      </c>
      <c r="I41" s="55" t="n">
        <f aca="false">I27*Plans!$D$54+I28*Plans!$E$54+I29*Plans!$F$54+I30*Plans!$G$54</f>
        <v>1094.42059814625</v>
      </c>
      <c r="J41" s="55" t="n">
        <f aca="false">J27*Plans!$D$54+J28*Plans!$E$54+J29*Plans!$F$54+J30*Plans!$G$54</f>
        <v>1342.13392216781</v>
      </c>
      <c r="K41" s="55" t="n">
        <f aca="false">K27*Plans!$D$54+K28*Plans!$E$54+K29*Plans!$F$54+K30*Plans!$G$54</f>
        <v>1624.03875804059</v>
      </c>
      <c r="L41" s="55" t="n">
        <f aca="false">L27*Plans!$D$54+L28*Plans!$E$54+L29*Plans!$F$54+L30*Plans!$G$54</f>
        <v>1945.37751580098</v>
      </c>
      <c r="M41" s="55" t="n">
        <f aca="false">M27*Plans!$D$54+M28*Plans!$E$54+M29*Plans!$F$54+M30*Plans!$G$54</f>
        <v>2312.17427460599</v>
      </c>
      <c r="N41" s="55" t="n">
        <f aca="false">N27*Plans!$D$54+N28*Plans!$E$54+N29*Plans!$F$54+N30*Plans!$G$54</f>
        <v>2731.35224027279</v>
      </c>
      <c r="O41" s="55" t="n">
        <f aca="false">O27*Plans!$D$54+O28*Plans!$E$54+O29*Plans!$F$54+O30*Plans!$G$54</f>
        <v>3170.69656630341</v>
      </c>
      <c r="P41" s="55" t="n">
        <f aca="false">P27*Plans!$D$54+P28*Plans!$E$54+P29*Plans!$F$54+P30*Plans!$G$54</f>
        <v>3631.97240588135</v>
      </c>
      <c r="Q41" s="55" t="n">
        <f aca="false">Q27*Plans!$D$54+Q28*Plans!$E$54+Q29*Plans!$F$54+Q30*Plans!$G$54</f>
        <v>4117.05381009536</v>
      </c>
      <c r="R41" s="55" t="n">
        <f aca="false">R27*Plans!$D$54+R28*Plans!$E$54+R29*Plans!$F$54+R30*Plans!$G$54</f>
        <v>4627.93200106927</v>
      </c>
      <c r="S41" s="55" t="n">
        <f aca="false">S27*Plans!$D$54+S28*Plans!$E$54+S29*Plans!$F$54+S30*Plans!$G$54</f>
        <v>5166.72419368584</v>
      </c>
      <c r="T41" s="55" t="n">
        <f aca="false">T27*Plans!$D$54+T28*Plans!$E$54+T29*Plans!$F$54+T30*Plans!$G$54</f>
        <v>5735.68300580553</v>
      </c>
      <c r="U41" s="55" t="n">
        <f aca="false">U27*Plans!$D$54+U28*Plans!$E$54+U29*Plans!$F$54+U30*Plans!$G$54</f>
        <v>6337.20649959796</v>
      </c>
      <c r="V41" s="55" t="n">
        <f aca="false">V27*Plans!$D$54+V28*Plans!$E$54+V29*Plans!$F$54+V30*Plans!$G$54</f>
        <v>6973.84889951443</v>
      </c>
      <c r="W41" s="55" t="n">
        <f aca="false">W27*Plans!$D$54+W28*Plans!$E$54+W29*Plans!$F$54+W30*Plans!$G$54</f>
        <v>7648.33203554908</v>
      </c>
      <c r="X41" s="55" t="n">
        <f aca="false">X27*Plans!$D$54+X28*Plans!$E$54+X29*Plans!$F$54+X30*Plans!$G$54</f>
        <v>8363.55756377598</v>
      </c>
      <c r="Y41" s="55" t="n">
        <f aca="false">Y27*Plans!$D$54+Y28*Plans!$E$54+Y29*Plans!$F$54+Y30*Plans!$G$54</f>
        <v>9122.62001972767</v>
      </c>
      <c r="Z41" s="55" t="n">
        <f aca="false">Z27*Plans!$D$54+Z28*Plans!$E$54+Z29*Plans!$F$54+Z30*Plans!$G$54</f>
        <v>9928.82076401138</v>
      </c>
    </row>
    <row r="42" customFormat="false" ht="15" hidden="false" customHeight="false" outlineLevel="0" collapsed="false">
      <c r="A42" s="50" t="s">
        <v>1208</v>
      </c>
      <c r="B42" s="56" t="n">
        <f aca="false">SUM(C42:Z42)</f>
        <v>9268.4258605762</v>
      </c>
      <c r="C42" s="55" t="n">
        <f aca="false">C38*(1-'Add-ons &amp; Packs'!$G$25)</f>
        <v>11.3088604527707</v>
      </c>
      <c r="D42" s="55" t="n">
        <f aca="false">D38*(1-'Add-ons &amp; Packs'!$G$25)</f>
        <v>23.8995025649068</v>
      </c>
      <c r="E42" s="55" t="n">
        <f aca="false">E38*(1-'Add-ons &amp; Packs'!$G$25)</f>
        <v>37.980586335531</v>
      </c>
      <c r="F42" s="55" t="n">
        <f aca="false">F38*(1-'Add-ons &amp; Packs'!$G$25)</f>
        <v>53.7913744611424</v>
      </c>
      <c r="G42" s="55" t="n">
        <f aca="false">G38*(1-'Add-ons &amp; Packs'!$G$25)</f>
        <v>71.6063542593311</v>
      </c>
      <c r="H42" s="55" t="n">
        <f aca="false">H38*(1-'Add-ons &amp; Packs'!$G$25)</f>
        <v>91.7405513767629</v>
      </c>
      <c r="I42" s="55" t="n">
        <f aca="false">I38*(1-'Add-ons &amp; Packs'!$G$25)</f>
        <v>114.555639123897</v>
      </c>
      <c r="J42" s="55" t="n">
        <f aca="false">J38*(1-'Add-ons &amp; Packs'!$G$25)</f>
        <v>140.466962851436</v>
      </c>
      <c r="K42" s="55" t="n">
        <f aca="false">K38*(1-'Add-ons &amp; Packs'!$G$25)</f>
        <v>169.951616692107</v>
      </c>
      <c r="L42" s="55" t="n">
        <f aca="false">L38*(1-'Add-ons &amp; Packs'!$G$25)</f>
        <v>203.557730586498</v>
      </c>
      <c r="M42" s="55" t="n">
        <f aca="false">M38*(1-'Add-ons &amp; Packs'!$G$25)</f>
        <v>241.915149196172</v>
      </c>
      <c r="N42" s="55" t="n">
        <f aca="false">N38*(1-'Add-ons &amp; Packs'!$G$25)</f>
        <v>285.747711544705</v>
      </c>
      <c r="O42" s="55" t="n">
        <f aca="false">O38*(1-'Add-ons &amp; Packs'!$G$25)</f>
        <v>331.678311944874</v>
      </c>
      <c r="P42" s="55" t="n">
        <f aca="false">P38*(1-'Add-ons &amp; Packs'!$G$25)</f>
        <v>379.891554650401</v>
      </c>
      <c r="Q42" s="55" t="n">
        <f aca="false">Q38*(1-'Add-ons &amp; Packs'!$G$25)</f>
        <v>430.583388127403</v>
      </c>
      <c r="R42" s="55" t="n">
        <f aca="false">R38*(1-'Add-ons &amp; Packs'!$G$25)</f>
        <v>483.961969591148</v>
      </c>
      <c r="S42" s="55" t="n">
        <f aca="false">S38*(1-'Add-ons &amp; Packs'!$G$25)</f>
        <v>540.248586737065</v>
      </c>
      <c r="T42" s="55" t="n">
        <f aca="false">T38*(1-'Add-ons &amp; Packs'!$G$25)</f>
        <v>599.678640833397</v>
      </c>
      <c r="U42" s="55" t="n">
        <f aca="false">U38*(1-'Add-ons &amp; Packs'!$G$25)</f>
        <v>662.50269562634</v>
      </c>
      <c r="V42" s="55" t="n">
        <f aca="false">V38*(1-'Add-ons &amp; Packs'!$G$25)</f>
        <v>728.987596812075</v>
      </c>
      <c r="W42" s="55" t="n">
        <f aca="false">W38*(1-'Add-ons &amp; Packs'!$G$25)</f>
        <v>799.417667155483</v>
      </c>
      <c r="X42" s="55" t="n">
        <f aca="false">X38*(1-'Add-ons &amp; Packs'!$G$25)</f>
        <v>874.095982683756</v>
      </c>
      <c r="Y42" s="55" t="n">
        <f aca="false">Y38*(1-'Add-ons &amp; Packs'!$G$25)</f>
        <v>953.345735756373</v>
      </c>
      <c r="Z42" s="55" t="n">
        <f aca="false">Z38*(1-'Add-ons &amp; Packs'!$G$25)</f>
        <v>1037.51169121263</v>
      </c>
    </row>
    <row r="43" customFormat="false" ht="15" hidden="false" customHeight="false" outlineLevel="0" collapsed="false">
      <c r="A43" s="50" t="s">
        <v>1209</v>
      </c>
      <c r="B43" s="56" t="n">
        <f aca="false">SUM(C43:Z43)</f>
        <v>13387.8335464021</v>
      </c>
      <c r="C43" s="55" t="n">
        <f aca="false">C39/Inputs!$B$36</f>
        <v>17.1428571428571</v>
      </c>
      <c r="D43" s="55" t="n">
        <f aca="false">D39/Inputs!$B$36</f>
        <v>36.0649714285714</v>
      </c>
      <c r="E43" s="55" t="n">
        <f aca="false">E39/Inputs!$B$36</f>
        <v>57.0715942285714</v>
      </c>
      <c r="F43" s="55" t="n">
        <f aca="false">F39/Inputs!$B$36</f>
        <v>80.5118380150285</v>
      </c>
      <c r="G43" s="55" t="n">
        <f aca="false">G39/Inputs!$B$36</f>
        <v>106.785354935465</v>
      </c>
      <c r="H43" s="55" t="n">
        <f aca="false">H39/Inputs!$B$36</f>
        <v>136.350011943099</v>
      </c>
      <c r="I43" s="55" t="n">
        <f aca="false">I39/Inputs!$B$36</f>
        <v>169.730712245313</v>
      </c>
      <c r="J43" s="55" t="n">
        <f aca="false">J39/Inputs!$B$36</f>
        <v>207.529535281941</v>
      </c>
      <c r="K43" s="55" t="n">
        <f aca="false">K39/Inputs!$B$36</f>
        <v>250.437393262632</v>
      </c>
      <c r="L43" s="55" t="n">
        <f aca="false">L39/Inputs!$B$36</f>
        <v>299.247431983485</v>
      </c>
      <c r="M43" s="55" t="n">
        <f aca="false">M39/Inputs!$B$36</f>
        <v>354.870437788469</v>
      </c>
      <c r="N43" s="55" t="n">
        <f aca="false">N39/Inputs!$B$36</f>
        <v>418.352551808934</v>
      </c>
      <c r="O43" s="55" t="n">
        <f aca="false">O39/Inputs!$B$36</f>
        <v>484.515215287122</v>
      </c>
      <c r="P43" s="55" t="n">
        <f aca="false">P39/Inputs!$B$36</f>
        <v>553.630580528931</v>
      </c>
      <c r="Q43" s="55" t="n">
        <f aca="false">Q39/Inputs!$B$36</f>
        <v>625.985639727814</v>
      </c>
      <c r="R43" s="55" t="n">
        <f aca="false">R39/Inputs!$B$36</f>
        <v>701.883479750633</v>
      </c>
      <c r="S43" s="55" t="n">
        <f aca="false">S39/Inputs!$B$36</f>
        <v>781.644613441991</v>
      </c>
      <c r="T43" s="55" t="n">
        <f aca="false">T39/Inputs!$B$36</f>
        <v>865.608393405189</v>
      </c>
      <c r="U43" s="55" t="n">
        <f aca="false">U39/Inputs!$B$36</f>
        <v>954.13451460273</v>
      </c>
      <c r="V43" s="55" t="n">
        <f aca="false">V39/Inputs!$B$36</f>
        <v>1047.60461253265</v>
      </c>
      <c r="W43" s="55" t="n">
        <f aca="false">W39/Inputs!$B$36</f>
        <v>1146.42396418097</v>
      </c>
      <c r="X43" s="55" t="n">
        <f aca="false">X39/Inputs!$B$36</f>
        <v>1251.02329942727</v>
      </c>
      <c r="Y43" s="55" t="n">
        <f aca="false">Y39/Inputs!$B$36</f>
        <v>1361.86073109171</v>
      </c>
      <c r="Z43" s="55" t="n">
        <f aca="false">Z39/Inputs!$B$36</f>
        <v>1479.42381236073</v>
      </c>
    </row>
    <row r="44" customFormat="false" ht="15" hidden="false" customHeight="false" outlineLevel="0" collapsed="false">
      <c r="A44" s="50" t="s">
        <v>1210</v>
      </c>
      <c r="B44" s="56" t="n">
        <f aca="false">SUM(C44:Z44)</f>
        <v>17201.9899007841</v>
      </c>
      <c r="C44" s="55" t="n">
        <f aca="false">C31*$E$22*$E$23</f>
        <v>22.0268092234582</v>
      </c>
      <c r="D44" s="55" t="n">
        <f aca="false">D31*$E$22*$E$23</f>
        <v>46.3397809762192</v>
      </c>
      <c r="E44" s="55" t="n">
        <f aca="false">E31*$E$22*$E$23</f>
        <v>73.3311318921628</v>
      </c>
      <c r="F44" s="55" t="n">
        <f aca="false">F31*$E$22*$E$23</f>
        <v>103.449435610909</v>
      </c>
      <c r="G44" s="55" t="n">
        <f aca="false">G31*$E$22*$E$23</f>
        <v>137.20820405966</v>
      </c>
      <c r="H44" s="55" t="n">
        <f aca="false">H31*$E$22*$E$23</f>
        <v>175.195749206735</v>
      </c>
      <c r="I44" s="55" t="n">
        <f aca="false">I31*$E$22*$E$23</f>
        <v>218.086517716037</v>
      </c>
      <c r="J44" s="55" t="n">
        <f aca="false">J31*$E$22*$E$23</f>
        <v>266.654119776815</v>
      </c>
      <c r="K44" s="55" t="n">
        <f aca="false">K31*$E$22*$E$23</f>
        <v>321.786306555943</v>
      </c>
      <c r="L44" s="55" t="n">
        <f aca="false">L31*$E$22*$E$23</f>
        <v>384.502188869751</v>
      </c>
      <c r="M44" s="55" t="n">
        <f aca="false">M31*$E$22*$E$23</f>
        <v>455.972033545683</v>
      </c>
      <c r="N44" s="55" t="n">
        <f aca="false">N31*$E$22*$E$23</f>
        <v>537.540024399134</v>
      </c>
      <c r="O44" s="55" t="n">
        <f aca="false">O31*$E$22*$E$23</f>
        <v>622.55224575788</v>
      </c>
      <c r="P44" s="55" t="n">
        <f aca="false">P31*$E$22*$E$23</f>
        <v>711.35838535902</v>
      </c>
      <c r="Q44" s="55" t="n">
        <f aca="false">Q31*$E$22*$E$23</f>
        <v>804.327198669691</v>
      </c>
      <c r="R44" s="55" t="n">
        <f aca="false">R31*$E$22*$E$23</f>
        <v>901.848121157911</v>
      </c>
      <c r="S44" s="55" t="n">
        <f aca="false">S31*$E$22*$E$23</f>
        <v>1004.33297888178</v>
      </c>
      <c r="T44" s="55" t="n">
        <f aca="false">T31*$E$22*$E$23</f>
        <v>1112.21780505268</v>
      </c>
      <c r="U44" s="55" t="n">
        <f aca="false">U31*$E$22*$E$23</f>
        <v>1225.96477072249</v>
      </c>
      <c r="V44" s="55" t="n">
        <f aca="false">V31*$E$22*$E$23</f>
        <v>1346.06423827584</v>
      </c>
      <c r="W44" s="55" t="n">
        <f aca="false">W31*$E$22*$E$23</f>
        <v>1473.03694697921</v>
      </c>
      <c r="X44" s="55" t="n">
        <f aca="false">X31*$E$22*$E$23</f>
        <v>1607.43634045084</v>
      </c>
      <c r="Y44" s="55" t="n">
        <f aca="false">Y31*$E$22*$E$23</f>
        <v>1749.85104657279</v>
      </c>
      <c r="Z44" s="55" t="n">
        <f aca="false">Z31*$E$22*$E$23</f>
        <v>1900.90752107147</v>
      </c>
    </row>
    <row r="45" customFormat="false" ht="15" hidden="false" customHeight="false" outlineLevel="0" collapsed="false">
      <c r="A45" s="50" t="s">
        <v>1211</v>
      </c>
      <c r="B45" s="56" t="n">
        <f aca="false">SUM(C45:Z45)</f>
        <v>25549.8501412417</v>
      </c>
      <c r="C45" s="55" t="n">
        <f aca="false">C40*(Inputs!$B$16+Inputs!$B$18+Inputs!$B$19)+C31*((1-Inputs!$B$32)+Inputs!$B$32/12+0.3)*Inputs!$B$17</f>
        <v>31.3495425807</v>
      </c>
      <c r="D45" s="55" t="n">
        <f aca="false">D40*(Inputs!$B$16+Inputs!$B$18+Inputs!$B$19)+D31*((1-Inputs!$B$32)+Inputs!$B$32/12+0.3)*Inputs!$B$17</f>
        <v>66.2168744926655</v>
      </c>
      <c r="E45" s="55" t="n">
        <f aca="false">E40*(Inputs!$B$16+Inputs!$B$18+Inputs!$B$19)+E31*((1-Inputs!$B$32)+Inputs!$B$32/12+0.3)*Inputs!$B$17</f>
        <v>105.17803333388</v>
      </c>
      <c r="F45" s="55" t="n">
        <f aca="false">F40*(Inputs!$B$16+Inputs!$B$18+Inputs!$B$19)+F31*((1-Inputs!$B$32)+Inputs!$B$32/12+0.3)*Inputs!$B$17</f>
        <v>148.893343459935</v>
      </c>
      <c r="G45" s="55" t="n">
        <f aca="false">G40*(Inputs!$B$16+Inputs!$B$18+Inputs!$B$19)+G31*((1-Inputs!$B$32)+Inputs!$B$32/12+0.3)*Inputs!$B$17</f>
        <v>198.12015755369</v>
      </c>
      <c r="H45" s="55" t="n">
        <f aca="false">H40*(Inputs!$B$16+Inputs!$B$18+Inputs!$B$19)+H31*((1-Inputs!$B$32)+Inputs!$B$32/12+0.3)*Inputs!$B$17</f>
        <v>253.727504621422</v>
      </c>
      <c r="I45" s="55" t="n">
        <f aca="false">I40*(Inputs!$B$16+Inputs!$B$18+Inputs!$B$19)+I31*((1-Inputs!$B$32)+Inputs!$B$32/12+0.3)*Inputs!$B$17</f>
        <v>316.712930622727</v>
      </c>
      <c r="J45" s="55" t="n">
        <f aca="false">J40*(Inputs!$B$16+Inputs!$B$18+Inputs!$B$19)+J31*((1-Inputs!$B$32)+Inputs!$B$32/12+0.3)*Inputs!$B$17</f>
        <v>388.221860859869</v>
      </c>
      <c r="K45" s="55" t="n">
        <f aca="false">K40*(Inputs!$B$16+Inputs!$B$18+Inputs!$B$19)+K31*((1-Inputs!$B$32)+Inputs!$B$32/12+0.3)*Inputs!$B$17</f>
        <v>469.569862609203</v>
      </c>
      <c r="L45" s="55" t="n">
        <f aca="false">L40*(Inputs!$B$16+Inputs!$B$18+Inputs!$B$19)+L31*((1-Inputs!$B$32)+Inputs!$B$32/12+0.3)*Inputs!$B$17</f>
        <v>562.268243238305</v>
      </c>
      <c r="M45" s="55" t="n">
        <f aca="false">M40*(Inputs!$B$16+Inputs!$B$18+Inputs!$B$19)+M31*((1-Inputs!$B$32)+Inputs!$B$32/12+0.3)*Inputs!$B$17</f>
        <v>668.053484328302</v>
      </c>
      <c r="N45" s="55" t="n">
        <f aca="false">N40*(Inputs!$B$16+Inputs!$B$18+Inputs!$B$19)+N31*((1-Inputs!$B$32)+Inputs!$B$32/12+0.3)*Inputs!$B$17</f>
        <v>788.921087388631</v>
      </c>
      <c r="O45" s="55" t="n">
        <f aca="false">O40*(Inputs!$B$16+Inputs!$B$18+Inputs!$B$19)+O31*((1-Inputs!$B$32)+Inputs!$B$32/12+0.3)*Inputs!$B$17</f>
        <v>915.496465706051</v>
      </c>
      <c r="P45" s="55" t="n">
        <f aca="false">P40*(Inputs!$B$16+Inputs!$B$18+Inputs!$B$19)+P31*((1-Inputs!$B$32)+Inputs!$B$32/12+0.3)*Inputs!$B$17</f>
        <v>1048.2897004756</v>
      </c>
      <c r="Q45" s="55" t="n">
        <f aca="false">Q40*(Inputs!$B$16+Inputs!$B$18+Inputs!$B$19)+Q31*((1-Inputs!$B$32)+Inputs!$B$32/12+0.3)*Inputs!$B$17</f>
        <v>1187.84181009253</v>
      </c>
      <c r="R45" s="55" t="n">
        <f aca="false">R40*(Inputs!$B$16+Inputs!$B$18+Inputs!$B$19)+R31*((1-Inputs!$B$32)+Inputs!$B$32/12+0.3)*Inputs!$B$17</f>
        <v>1334.72713468113</v>
      </c>
      <c r="S45" s="55" t="n">
        <f aca="false">S40*(Inputs!$B$16+Inputs!$B$18+Inputs!$B$19)+S31*((1-Inputs!$B$32)+Inputs!$B$32/12+0.3)*Inputs!$B$17</f>
        <v>1489.55587696823</v>
      </c>
      <c r="T45" s="55" t="n">
        <f aca="false">T40*(Inputs!$B$16+Inputs!$B$18+Inputs!$B$19)+T31*((1-Inputs!$B$32)+Inputs!$B$32/12+0.3)*Inputs!$B$17</f>
        <v>1652.97681097598</v>
      </c>
      <c r="U45" s="55" t="n">
        <f aca="false">U40*(Inputs!$B$16+Inputs!$B$18+Inputs!$B$19)+U31*((1-Inputs!$B$32)+Inputs!$B$32/12+0.3)*Inputs!$B$17</f>
        <v>1825.68017078489</v>
      </c>
      <c r="V45" s="55" t="n">
        <f aca="false">V40*(Inputs!$B$16+Inputs!$B$18+Inputs!$B$19)+V31*((1-Inputs!$B$32)+Inputs!$B$32/12+0.3)*Inputs!$B$17</f>
        <v>2008.40073244909</v>
      </c>
      <c r="W45" s="55" t="n">
        <f aca="false">W40*(Inputs!$B$16+Inputs!$B$18+Inputs!$B$19)+W31*((1-Inputs!$B$32)+Inputs!$B$32/12+0.3)*Inputs!$B$17</f>
        <v>2201.92110303748</v>
      </c>
      <c r="X45" s="55" t="n">
        <f aca="false">X40*(Inputs!$B$16+Inputs!$B$18+Inputs!$B$19)+X31*((1-Inputs!$B$32)+Inputs!$B$32/12+0.3)*Inputs!$B$17</f>
        <v>2407.07523172887</v>
      </c>
      <c r="Y45" s="55" t="n">
        <f aca="false">Y40*(Inputs!$B$16+Inputs!$B$18+Inputs!$B$19)+Y31*((1-Inputs!$B$32)+Inputs!$B$32/12+0.3)*Inputs!$B$17</f>
        <v>2624.75215891242</v>
      </c>
      <c r="Z45" s="55" t="n">
        <f aca="false">Z40*(Inputs!$B$16+Inputs!$B$18+Inputs!$B$19)+Z31*((1-Inputs!$B$32)+Inputs!$B$32/12+0.3)*Inputs!$B$17</f>
        <v>2855.90002034005</v>
      </c>
    </row>
    <row r="46" customFormat="false" ht="15" hidden="false" customHeight="false" outlineLevel="0" collapsed="false">
      <c r="A46" s="4" t="s">
        <v>1212</v>
      </c>
      <c r="B46" s="56" t="n">
        <f aca="false">SUM(C46:Z46)</f>
        <v>181795.374991997</v>
      </c>
      <c r="C46" s="56" t="n">
        <f aca="false">C40-C41-C42-C43-C44-C45</f>
        <v>221.438119140885</v>
      </c>
      <c r="D46" s="56" t="n">
        <f aca="false">D40-D41-D42-D43-D44-D45</f>
        <v>468.053593167593</v>
      </c>
      <c r="E46" s="56" t="n">
        <f aca="false">E40-E41-E42-E43-E44-E45</f>
        <v>743.937055665692</v>
      </c>
      <c r="F46" s="56" t="n">
        <f aca="false">F40-F41-F42-F43-F44-F45</f>
        <v>1053.77956931889</v>
      </c>
      <c r="G46" s="56" t="n">
        <f aca="false">G40-G41-G42-G43-G44-G45</f>
        <v>1402.96327888655</v>
      </c>
      <c r="H46" s="56" t="n">
        <f aca="false">H40-H41-H42-H43-H44-H45</f>
        <v>1797.6656343352</v>
      </c>
      <c r="I46" s="56" t="n">
        <f aca="false">I40-I41-I42-I43-I44-I45</f>
        <v>2244.97922101784</v>
      </c>
      <c r="J46" s="56" t="n">
        <f aca="false">J40-J41-J42-J43-J44-J45</f>
        <v>2753.04953925895</v>
      </c>
      <c r="K46" s="56" t="n">
        <f aca="false">K40-K41-K42-K43-K44-K45</f>
        <v>3331.23342699071</v>
      </c>
      <c r="L46" s="56" t="n">
        <f aca="false">L40-L41-L42-L43-L44-L45</f>
        <v>3990.28122306975</v>
      </c>
      <c r="M46" s="56" t="n">
        <f aca="false">M40-M41-M42-M43-M44-M45</f>
        <v>4742.54623348916</v>
      </c>
      <c r="N46" s="56" t="n">
        <f aca="false">N40-N41-N42-N43-N44-N45</f>
        <v>5602.2255969757</v>
      </c>
      <c r="O46" s="56" t="n">
        <f aca="false">O40-O41-O42-O43-O44-O45</f>
        <v>6503.21991686255</v>
      </c>
      <c r="P46" s="56" t="n">
        <f aca="false">P40-P41-P42-P43-P44-P45</f>
        <v>7449.14644599317</v>
      </c>
      <c r="Q46" s="56" t="n">
        <f aca="false">Q40-Q41-Q42-Q43-Q44-Q45</f>
        <v>8443.84571231396</v>
      </c>
      <c r="R46" s="56" t="n">
        <f aca="false">R40-R41-R42-R43-R44-R45</f>
        <v>9491.39846741882</v>
      </c>
      <c r="S46" s="56" t="n">
        <f aca="false">S40-S41-S42-S43-S44-S45</f>
        <v>10596.1437599423</v>
      </c>
      <c r="T46" s="56" t="n">
        <f aca="false">T40-T41-T42-T43-T44-T45</f>
        <v>11762.6982155473</v>
      </c>
      <c r="U46" s="56" t="n">
        <f aca="false">U40-U41-U42-U43-U44-U45</f>
        <v>12995.9766108237</v>
      </c>
      <c r="V46" s="56" t="n">
        <f aca="false">V40-V41-V42-V43-V44-V45</f>
        <v>14301.2138343824</v>
      </c>
      <c r="W46" s="56" t="n">
        <f aca="false">W40-W41-W42-W43-W44-W45</f>
        <v>15683.9883348219</v>
      </c>
      <c r="X46" s="56" t="n">
        <f aca="false">X40-X41-X42-X43-X44-X45</f>
        <v>17150.2471620918</v>
      </c>
      <c r="Y46" s="56" t="n">
        <f aca="false">Y40-Y41-Y42-Y43-Y44-Y45</f>
        <v>18706.3327161133</v>
      </c>
      <c r="Z46" s="56" t="n">
        <f aca="false">Z40-Z41-Z42-Z43-Z44-Z45</f>
        <v>20359.0113243685</v>
      </c>
    </row>
    <row r="47" customFormat="false" ht="15" hidden="false" customHeight="false" outlineLevel="0" collapsed="false">
      <c r="A47" s="50" t="s">
        <v>1213</v>
      </c>
      <c r="B47" s="2"/>
      <c r="C47" s="47" t="n">
        <f aca="false">IF(C40=0,0,C46/C40)</f>
        <v>0.538516057538021</v>
      </c>
      <c r="D47" s="47" t="n">
        <f aca="false">IF(D40=0,0,D46/D40)</f>
        <v>0.538784498548188</v>
      </c>
      <c r="E47" s="47" t="n">
        <f aca="false">IF(E40=0,0,E46/E40)</f>
        <v>0.539034045850111</v>
      </c>
      <c r="F47" s="47" t="n">
        <f aca="false">IF(F40=0,0,F46/F40)</f>
        <v>0.539265222372408</v>
      </c>
      <c r="G47" s="47" t="n">
        <f aca="false">IF(G40=0,0,G46/G40)</f>
        <v>0.539478637664767</v>
      </c>
      <c r="H47" s="47" t="n">
        <f aca="false">IF(H40=0,0,H46/H40)</f>
        <v>0.539674977469245</v>
      </c>
      <c r="I47" s="47" t="n">
        <f aca="false">IF(I40=0,0,I46/I40)</f>
        <v>0.539854992122531</v>
      </c>
      <c r="J47" s="47" t="n">
        <f aca="false">IF(J40=0,0,J46/J40)</f>
        <v>0.540019484202181</v>
      </c>
      <c r="K47" s="47" t="n">
        <f aca="false">IF(K40=0,0,K46/K40)</f>
        <v>0.540169295834181</v>
      </c>
      <c r="L47" s="47" t="n">
        <f aca="false">IF(L40=0,0,L46/L40)</f>
        <v>0.540305296061247</v>
      </c>
      <c r="M47" s="47" t="n">
        <f aca="false">IF(M40=0,0,M46/M40)</f>
        <v>0.540428368634508</v>
      </c>
      <c r="N47" s="47" t="n">
        <f aca="false">IF(N40=0,0,N46/N40)</f>
        <v>0.540539400539745</v>
      </c>
      <c r="O47" s="47" t="n">
        <f aca="false">IF(O40=0,0,O46/O40)</f>
        <v>0.540666287105321</v>
      </c>
      <c r="P47" s="47" t="n">
        <f aca="false">IF(P40=0,0,P46/P40)</f>
        <v>0.540800792445623</v>
      </c>
      <c r="Q47" s="47" t="n">
        <f aca="false">IF(Q40=0,0,Q46/Q40)</f>
        <v>0.540937973760387</v>
      </c>
      <c r="R47" s="47" t="n">
        <f aca="false">IF(R40=0,0,R46/R40)</f>
        <v>0.541074740683012</v>
      </c>
      <c r="S47" s="47" t="n">
        <f aca="false">IF(S40=0,0,S46/S40)</f>
        <v>0.541209110674931</v>
      </c>
      <c r="T47" s="47" t="n">
        <f aca="false">IF(T40=0,0,T46/T40)</f>
        <v>0.541339796980838</v>
      </c>
      <c r="U47" s="47" t="n">
        <f aca="false">IF(U40=0,0,U46/U40)</f>
        <v>0.541465967551313</v>
      </c>
      <c r="V47" s="47" t="n">
        <f aca="false">IF(V40=0,0,V46/V40)</f>
        <v>0.541587097270521</v>
      </c>
      <c r="W47" s="47" t="n">
        <f aca="false">IF(W40=0,0,W46/W40)</f>
        <v>0.541702873707663</v>
      </c>
      <c r="X47" s="47" t="n">
        <f aca="false">IF(X40=0,0,X46/X40)</f>
        <v>0.541813134901608</v>
      </c>
      <c r="Y47" s="47" t="n">
        <f aca="false">IF(Y40=0,0,Y46/Y40)</f>
        <v>0.541917827033206</v>
      </c>
      <c r="Z47" s="47" t="n">
        <f aca="false">IF(Z40=0,0,Z46/Z40)</f>
        <v>0.542016974849498</v>
      </c>
    </row>
    <row r="48" customFormat="false" ht="15" hidden="false" customHeight="false" outlineLevel="0" collapsed="false">
      <c r="A48" s="50" t="s">
        <v>1214</v>
      </c>
      <c r="B48" s="56" t="n">
        <f aca="false">SUM(C48:Z48)</f>
        <v>35415.4288578097</v>
      </c>
      <c r="C48" s="55" t="n">
        <f aca="false">C26*$E$21</f>
        <v>300</v>
      </c>
      <c r="D48" s="55" t="n">
        <f aca="false">D26*$E$21</f>
        <v>345</v>
      </c>
      <c r="E48" s="55" t="n">
        <f aca="false">E26*$E$21</f>
        <v>396.75</v>
      </c>
      <c r="F48" s="55" t="n">
        <f aca="false">F26*$E$21</f>
        <v>456.2625</v>
      </c>
      <c r="G48" s="55" t="n">
        <f aca="false">G26*$E$21</f>
        <v>524.701875</v>
      </c>
      <c r="H48" s="55" t="n">
        <f aca="false">H26*$E$21</f>
        <v>603.40715625</v>
      </c>
      <c r="I48" s="55" t="n">
        <f aca="false">I26*$E$21</f>
        <v>693.9182296875</v>
      </c>
      <c r="J48" s="55" t="n">
        <f aca="false">J26*$E$21</f>
        <v>798.005964140624</v>
      </c>
      <c r="K48" s="55" t="n">
        <f aca="false">K26*$E$21</f>
        <v>917.706858761718</v>
      </c>
      <c r="L48" s="55" t="n">
        <f aca="false">L26*$E$21</f>
        <v>1055.36288757598</v>
      </c>
      <c r="M48" s="55" t="n">
        <f aca="false">M26*$E$21</f>
        <v>1213.66732071237</v>
      </c>
      <c r="N48" s="55" t="n">
        <f aca="false">N26*$E$21</f>
        <v>1395.71741881923</v>
      </c>
      <c r="O48" s="55" t="n">
        <f aca="false">O26*$E$21</f>
        <v>1493.41763813657</v>
      </c>
      <c r="P48" s="55" t="n">
        <f aca="false">P26*$E$21</f>
        <v>1597.95687280613</v>
      </c>
      <c r="Q48" s="55" t="n">
        <f aca="false">Q26*$E$21</f>
        <v>1709.81385390256</v>
      </c>
      <c r="R48" s="55" t="n">
        <f aca="false">R26*$E$21</f>
        <v>1829.50082367574</v>
      </c>
      <c r="S48" s="55" t="n">
        <f aca="false">S26*$E$21</f>
        <v>1957.56588133305</v>
      </c>
      <c r="T48" s="55" t="n">
        <f aca="false">T26*$E$21</f>
        <v>2094.59549302636</v>
      </c>
      <c r="U48" s="55" t="n">
        <f aca="false">U26*$E$21</f>
        <v>2241.2171775382</v>
      </c>
      <c r="V48" s="55" t="n">
        <f aca="false">V26*$E$21</f>
        <v>2398.10237996588</v>
      </c>
      <c r="W48" s="55" t="n">
        <f aca="false">W26*$E$21</f>
        <v>2565.96954656349</v>
      </c>
      <c r="X48" s="55" t="n">
        <f aca="false">X26*$E$21</f>
        <v>2745.58741482293</v>
      </c>
      <c r="Y48" s="55" t="n">
        <f aca="false">Y26*$E$21</f>
        <v>2937.77853386054</v>
      </c>
      <c r="Z48" s="55" t="n">
        <f aca="false">Z26*$E$21</f>
        <v>3143.42303123078</v>
      </c>
    </row>
    <row r="49" customFormat="false" ht="15" hidden="false" customHeight="false" outlineLevel="0" collapsed="false">
      <c r="A49" s="50" t="s">
        <v>1215</v>
      </c>
      <c r="B49" s="56" t="n">
        <f aca="false">SUM(C49:Z49)</f>
        <v>61182.8</v>
      </c>
      <c r="C49" s="55" t="n">
        <f aca="false">INDEX('Fixed Costs'!$C$25:$F$25,1,C32)</f>
        <v>284.466666666667</v>
      </c>
      <c r="D49" s="55" t="n">
        <f aca="false">INDEX('Fixed Costs'!$C$25:$F$25,1,D32)</f>
        <v>284.466666666667</v>
      </c>
      <c r="E49" s="55" t="n">
        <f aca="false">INDEX('Fixed Costs'!$C$25:$F$25,1,E32)</f>
        <v>284.466666666667</v>
      </c>
      <c r="F49" s="55" t="n">
        <f aca="false">INDEX('Fixed Costs'!$C$25:$F$25,1,F32)</f>
        <v>284.466666666667</v>
      </c>
      <c r="G49" s="55" t="n">
        <f aca="false">INDEX('Fixed Costs'!$C$25:$F$25,1,G32)</f>
        <v>284.466666666667</v>
      </c>
      <c r="H49" s="55" t="n">
        <f aca="false">INDEX('Fixed Costs'!$C$25:$F$25,1,H32)</f>
        <v>284.466666666667</v>
      </c>
      <c r="I49" s="55" t="n">
        <f aca="false">INDEX('Fixed Costs'!$C$25:$F$25,1,I32)</f>
        <v>1619.86666666667</v>
      </c>
      <c r="J49" s="55" t="n">
        <f aca="false">INDEX('Fixed Costs'!$C$25:$F$25,1,J32)</f>
        <v>1619.86666666667</v>
      </c>
      <c r="K49" s="55" t="n">
        <f aca="false">INDEX('Fixed Costs'!$C$25:$F$25,1,K32)</f>
        <v>1619.86666666667</v>
      </c>
      <c r="L49" s="55" t="n">
        <f aca="false">INDEX('Fixed Costs'!$C$25:$F$25,1,L32)</f>
        <v>1619.86666666667</v>
      </c>
      <c r="M49" s="55" t="n">
        <f aca="false">INDEX('Fixed Costs'!$C$25:$F$25,1,M32)</f>
        <v>1619.86666666667</v>
      </c>
      <c r="N49" s="55" t="n">
        <f aca="false">INDEX('Fixed Costs'!$C$25:$F$25,1,N32)</f>
        <v>1619.86666666667</v>
      </c>
      <c r="O49" s="55" t="n">
        <f aca="false">INDEX('Fixed Costs'!$C$25:$F$25,1,O32)</f>
        <v>1619.86666666667</v>
      </c>
      <c r="P49" s="55" t="n">
        <f aca="false">INDEX('Fixed Costs'!$C$25:$F$25,1,P32)</f>
        <v>1619.86666666667</v>
      </c>
      <c r="Q49" s="55" t="n">
        <f aca="false">INDEX('Fixed Costs'!$C$25:$F$25,1,Q32)</f>
        <v>1619.86666666667</v>
      </c>
      <c r="R49" s="55" t="n">
        <f aca="false">INDEX('Fixed Costs'!$C$25:$F$25,1,R32)</f>
        <v>1619.86666666667</v>
      </c>
      <c r="S49" s="55" t="n">
        <f aca="false">INDEX('Fixed Costs'!$C$25:$F$25,1,S32)</f>
        <v>1619.86666666667</v>
      </c>
      <c r="T49" s="55" t="n">
        <f aca="false">INDEX('Fixed Costs'!$C$25:$F$25,1,T32)</f>
        <v>5951.06666666667</v>
      </c>
      <c r="U49" s="55" t="n">
        <f aca="false">INDEX('Fixed Costs'!$C$25:$F$25,1,U32)</f>
        <v>5951.06666666667</v>
      </c>
      <c r="V49" s="55" t="n">
        <f aca="false">INDEX('Fixed Costs'!$C$25:$F$25,1,V32)</f>
        <v>5951.06666666667</v>
      </c>
      <c r="W49" s="55" t="n">
        <f aca="false">INDEX('Fixed Costs'!$C$25:$F$25,1,W32)</f>
        <v>5951.06666666667</v>
      </c>
      <c r="X49" s="55" t="n">
        <f aca="false">INDEX('Fixed Costs'!$C$25:$F$25,1,X32)</f>
        <v>5951.06666666667</v>
      </c>
      <c r="Y49" s="55" t="n">
        <f aca="false">INDEX('Fixed Costs'!$C$25:$F$25,1,Y32)</f>
        <v>5951.06666666667</v>
      </c>
      <c r="Z49" s="55" t="n">
        <f aca="false">INDEX('Fixed Costs'!$C$25:$F$25,1,Z32)</f>
        <v>5951.06666666667</v>
      </c>
    </row>
    <row r="50" customFormat="false" ht="15" hidden="false" customHeight="false" outlineLevel="0" collapsed="false">
      <c r="A50" s="4" t="s">
        <v>1216</v>
      </c>
      <c r="B50" s="56" t="n">
        <f aca="false">SUM(C50:Z50)</f>
        <v>85197.1461341869</v>
      </c>
      <c r="C50" s="56" t="n">
        <f aca="false">C46-C48-C49</f>
        <v>-363.028547525782</v>
      </c>
      <c r="D50" s="56" t="n">
        <f aca="false">D46-D48-D49</f>
        <v>-161.413073499073</v>
      </c>
      <c r="E50" s="56" t="n">
        <f aca="false">E46-E48-E49</f>
        <v>62.7203889990252</v>
      </c>
      <c r="F50" s="56" t="n">
        <f aca="false">F46-F48-F49</f>
        <v>313.050402652226</v>
      </c>
      <c r="G50" s="56" t="n">
        <f aca="false">G46-G48-G49</f>
        <v>593.794737219888</v>
      </c>
      <c r="H50" s="56" t="n">
        <f aca="false">H46-H48-H49</f>
        <v>909.791811418536</v>
      </c>
      <c r="I50" s="56" t="n">
        <f aca="false">I46-I48-I49</f>
        <v>-68.8056753363276</v>
      </c>
      <c r="J50" s="56" t="n">
        <f aca="false">J46-J48-J49</f>
        <v>335.176908451663</v>
      </c>
      <c r="K50" s="56" t="n">
        <f aca="false">K46-K48-K49</f>
        <v>793.659901562324</v>
      </c>
      <c r="L50" s="56" t="n">
        <f aca="false">L46-L48-L49</f>
        <v>1315.05166882711</v>
      </c>
      <c r="M50" s="56" t="n">
        <f aca="false">M46-M48-M49</f>
        <v>1909.01224611012</v>
      </c>
      <c r="N50" s="56" t="n">
        <f aca="false">N46-N48-N49</f>
        <v>2586.6415114898</v>
      </c>
      <c r="O50" s="56" t="n">
        <f aca="false">O46-O48-O49</f>
        <v>3389.93561205931</v>
      </c>
      <c r="P50" s="56" t="n">
        <f aca="false">P46-P48-P49</f>
        <v>4231.32290652037</v>
      </c>
      <c r="Q50" s="56" t="n">
        <f aca="false">Q46-Q48-Q49</f>
        <v>5114.16519174473</v>
      </c>
      <c r="R50" s="56" t="n">
        <f aca="false">R46-R48-R49</f>
        <v>6042.03097707641</v>
      </c>
      <c r="S50" s="56" t="n">
        <f aca="false">S46-S48-S49</f>
        <v>7018.71121194259</v>
      </c>
      <c r="T50" s="56" t="n">
        <f aca="false">T46-T48-T49</f>
        <v>3717.03605585424</v>
      </c>
      <c r="U50" s="56" t="n">
        <f aca="false">U46-U48-U49</f>
        <v>4803.69276661879</v>
      </c>
      <c r="V50" s="56" t="n">
        <f aca="false">V46-V48-V49</f>
        <v>5952.04478774989</v>
      </c>
      <c r="W50" s="56" t="n">
        <f aca="false">W46-W48-W49</f>
        <v>7166.95212159177</v>
      </c>
      <c r="X50" s="56" t="n">
        <f aca="false">X46-X48-X49</f>
        <v>8453.59308060216</v>
      </c>
      <c r="Y50" s="56" t="n">
        <f aca="false">Y46-Y48-Y49</f>
        <v>9817.48751558608</v>
      </c>
      <c r="Z50" s="56" t="n">
        <f aca="false">Z46-Z48-Z49</f>
        <v>11264.5216264711</v>
      </c>
    </row>
    <row r="51" customFormat="false" ht="15" hidden="false" customHeight="false" outlineLevel="0" collapsed="false">
      <c r="A51" s="4" t="s">
        <v>1217</v>
      </c>
      <c r="B51" s="56" t="n">
        <f aca="false">Z51</f>
        <v>85197.1461341869</v>
      </c>
      <c r="C51" s="56" t="n">
        <f aca="false">C50</f>
        <v>-363.028547525782</v>
      </c>
      <c r="D51" s="56" t="n">
        <f aca="false">C51+D50</f>
        <v>-524.441621024855</v>
      </c>
      <c r="E51" s="56" t="n">
        <f aca="false">D51+E50</f>
        <v>-461.72123202583</v>
      </c>
      <c r="F51" s="56" t="n">
        <f aca="false">E51+F50</f>
        <v>-148.670829373604</v>
      </c>
      <c r="G51" s="56" t="n">
        <f aca="false">F51+G50</f>
        <v>445.123907846284</v>
      </c>
      <c r="H51" s="56" t="n">
        <f aca="false">G51+H50</f>
        <v>1354.91571926482</v>
      </c>
      <c r="I51" s="56" t="n">
        <f aca="false">H51+I50</f>
        <v>1286.11004392849</v>
      </c>
      <c r="J51" s="56" t="n">
        <f aca="false">I51+J50</f>
        <v>1621.28695238016</v>
      </c>
      <c r="K51" s="56" t="n">
        <f aca="false">J51+K50</f>
        <v>2414.94685394248</v>
      </c>
      <c r="L51" s="56" t="n">
        <f aca="false">K51+L50</f>
        <v>3729.99852276959</v>
      </c>
      <c r="M51" s="56" t="n">
        <f aca="false">L51+M50</f>
        <v>5639.01076887971</v>
      </c>
      <c r="N51" s="56" t="n">
        <f aca="false">M51+N50</f>
        <v>8225.65228036951</v>
      </c>
      <c r="O51" s="56" t="n">
        <f aca="false">N51+O50</f>
        <v>11615.5878924288</v>
      </c>
      <c r="P51" s="56" t="n">
        <f aca="false">O51+P50</f>
        <v>15846.9107989492</v>
      </c>
      <c r="Q51" s="56" t="n">
        <f aca="false">P51+Q50</f>
        <v>20961.0759906939</v>
      </c>
      <c r="R51" s="56" t="n">
        <f aca="false">Q51+R50</f>
        <v>27003.1069677703</v>
      </c>
      <c r="S51" s="56" t="n">
        <f aca="false">R51+S50</f>
        <v>34021.8181797129</v>
      </c>
      <c r="T51" s="56" t="n">
        <f aca="false">S51+T50</f>
        <v>37738.8542355672</v>
      </c>
      <c r="U51" s="56" t="n">
        <f aca="false">T51+U50</f>
        <v>42542.5470021859</v>
      </c>
      <c r="V51" s="56" t="n">
        <f aca="false">U51+V50</f>
        <v>48494.5917899358</v>
      </c>
      <c r="W51" s="56" t="n">
        <f aca="false">V51+W50</f>
        <v>55661.5439115276</v>
      </c>
      <c r="X51" s="56" t="n">
        <f aca="false">W51+X50</f>
        <v>64115.1369921298</v>
      </c>
      <c r="Y51" s="56" t="n">
        <f aca="false">X51+Y50</f>
        <v>73932.6245077158</v>
      </c>
      <c r="Z51" s="56" t="n">
        <f aca="false">Y51+Z50</f>
        <v>85197.1461341869</v>
      </c>
    </row>
    <row r="52" customFormat="false" ht="15" hidden="false" customHeight="false" outlineLevel="0" collapsed="false">
      <c r="A52" s="50" t="s">
        <v>1218</v>
      </c>
      <c r="B52" s="56" t="n">
        <f aca="false">Z52</f>
        <v>374706.251375716</v>
      </c>
      <c r="C52" s="55" t="n">
        <f aca="false">C37*12</f>
        <v>4084.292007</v>
      </c>
      <c r="D52" s="55" t="n">
        <f aca="false">D37*12</f>
        <v>8631.51046073874</v>
      </c>
      <c r="E52" s="55" t="n">
        <f aca="false">E37*12</f>
        <v>13717.0147106535</v>
      </c>
      <c r="F52" s="55" t="n">
        <f aca="false">F37*12</f>
        <v>19427.2165329762</v>
      </c>
      <c r="G52" s="55" t="n">
        <f aca="false">G37*12</f>
        <v>25861.2493781496</v>
      </c>
      <c r="H52" s="55" t="n">
        <f aca="false">H37*12</f>
        <v>33132.8874620682</v>
      </c>
      <c r="I52" s="55" t="n">
        <f aca="false">I37*12</f>
        <v>41372.752204744</v>
      </c>
      <c r="J52" s="55" t="n">
        <f aca="false">J37*12</f>
        <v>50730.8491441438</v>
      </c>
      <c r="K52" s="55" t="n">
        <f aca="false">K37*12</f>
        <v>61379.4849208026</v>
      </c>
      <c r="L52" s="55" t="n">
        <f aca="false">L37*12</f>
        <v>73516.6213669036</v>
      </c>
      <c r="M52" s="55" t="n">
        <f aca="false">M37*12</f>
        <v>87369.7322873995</v>
      </c>
      <c r="N52" s="55" t="n">
        <f aca="false">N37*12</f>
        <v>103200.23835776</v>
      </c>
      <c r="O52" s="55" t="n">
        <f aca="false">O37*12</f>
        <v>119788.468876172</v>
      </c>
      <c r="P52" s="55" t="n">
        <f aca="false">P37*12</f>
        <v>137201.095253173</v>
      </c>
      <c r="Q52" s="55" t="n">
        <f aca="false">Q37*12</f>
        <v>155508.885958962</v>
      </c>
      <c r="R52" s="55" t="n">
        <f aca="false">R37*12</f>
        <v>174787.018758271</v>
      </c>
      <c r="S52" s="55" t="n">
        <f aca="false">S37*12</f>
        <v>195115.413601433</v>
      </c>
      <c r="T52" s="55" t="n">
        <f aca="false">T37*12</f>
        <v>216579.087676725</v>
      </c>
      <c r="U52" s="55" t="n">
        <f aca="false">U37*12</f>
        <v>239268.534231464</v>
      </c>
      <c r="V52" s="55" t="n">
        <f aca="false">V37*12</f>
        <v>263280.12687894</v>
      </c>
      <c r="W52" s="55" t="n">
        <f aca="false">W37*12</f>
        <v>288716.551225794</v>
      </c>
      <c r="X52" s="55" t="n">
        <f aca="false">X37*12</f>
        <v>315687.265780294</v>
      </c>
      <c r="Y52" s="55" t="n">
        <f aca="false">Y37*12</f>
        <v>344308.994236755</v>
      </c>
      <c r="Z52" s="55" t="n">
        <f aca="false">Z37*12</f>
        <v>374706.251375716</v>
      </c>
    </row>
    <row r="53" customFormat="false" ht="15" hidden="false" customHeight="false" outlineLevel="0" collapsed="false">
      <c r="A53" s="50" t="s">
        <v>1219</v>
      </c>
      <c r="B53" s="2"/>
      <c r="C53" s="72" t="n">
        <f aca="false">IF(C50&lt;0,1,0)</f>
        <v>1</v>
      </c>
      <c r="D53" s="72" t="n">
        <f aca="false">IF(D50&lt;0,2,0)</f>
        <v>2</v>
      </c>
      <c r="E53" s="72" t="n">
        <f aca="false">IF(E50&lt;0,3,0)</f>
        <v>0</v>
      </c>
      <c r="F53" s="72" t="n">
        <f aca="false">IF(F50&lt;0,4,0)</f>
        <v>0</v>
      </c>
      <c r="G53" s="72" t="n">
        <f aca="false">IF(G50&lt;0,5,0)</f>
        <v>0</v>
      </c>
      <c r="H53" s="72" t="n">
        <f aca="false">IF(H50&lt;0,6,0)</f>
        <v>0</v>
      </c>
      <c r="I53" s="72" t="n">
        <f aca="false">IF(I50&lt;0,7,0)</f>
        <v>7</v>
      </c>
      <c r="J53" s="72" t="n">
        <f aca="false">IF(J50&lt;0,8,0)</f>
        <v>0</v>
      </c>
      <c r="K53" s="72" t="n">
        <f aca="false">IF(K50&lt;0,9,0)</f>
        <v>0</v>
      </c>
      <c r="L53" s="72" t="n">
        <f aca="false">IF(L50&lt;0,10,0)</f>
        <v>0</v>
      </c>
      <c r="M53" s="72" t="n">
        <f aca="false">IF(M50&lt;0,11,0)</f>
        <v>0</v>
      </c>
      <c r="N53" s="72" t="n">
        <f aca="false">IF(N50&lt;0,12,0)</f>
        <v>0</v>
      </c>
      <c r="O53" s="72" t="n">
        <f aca="false">IF(O50&lt;0,13,0)</f>
        <v>0</v>
      </c>
      <c r="P53" s="72" t="n">
        <f aca="false">IF(P50&lt;0,14,0)</f>
        <v>0</v>
      </c>
      <c r="Q53" s="72" t="n">
        <f aca="false">IF(Q50&lt;0,15,0)</f>
        <v>0</v>
      </c>
      <c r="R53" s="72" t="n">
        <f aca="false">IF(R50&lt;0,16,0)</f>
        <v>0</v>
      </c>
      <c r="S53" s="72" t="n">
        <f aca="false">IF(S50&lt;0,17,0)</f>
        <v>0</v>
      </c>
      <c r="T53" s="72" t="n">
        <f aca="false">IF(T50&lt;0,18,0)</f>
        <v>0</v>
      </c>
      <c r="U53" s="72" t="n">
        <f aca="false">IF(U50&lt;0,19,0)</f>
        <v>0</v>
      </c>
      <c r="V53" s="72" t="n">
        <f aca="false">IF(V50&lt;0,20,0)</f>
        <v>0</v>
      </c>
      <c r="W53" s="72" t="n">
        <f aca="false">IF(W50&lt;0,21,0)</f>
        <v>0</v>
      </c>
      <c r="X53" s="72" t="n">
        <f aca="false">IF(X50&lt;0,22,0)</f>
        <v>0</v>
      </c>
      <c r="Y53" s="72" t="n">
        <f aca="false">IF(Y50&lt;0,23,0)</f>
        <v>0</v>
      </c>
      <c r="Z53" s="72" t="n">
        <f aca="false">IF(Z50&lt;0,24,0)</f>
        <v>0</v>
      </c>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 hidden="false" customHeight="false" outlineLevel="0" collapsed="false">
      <c r="A55" s="4" t="s">
        <v>1220</v>
      </c>
      <c r="B55" s="73" t="n">
        <f aca="false">IF(Z50&lt;0,"not within 24 months",MAX(C53:Z53)+1)</f>
        <v>8</v>
      </c>
      <c r="C55" s="2"/>
      <c r="D55" s="2"/>
      <c r="E55" s="2"/>
      <c r="F55" s="2"/>
      <c r="G55" s="2"/>
      <c r="H55" s="2"/>
      <c r="I55" s="2"/>
      <c r="J55" s="2"/>
      <c r="K55" s="2"/>
      <c r="L55" s="2"/>
      <c r="M55" s="2"/>
      <c r="N55" s="2"/>
      <c r="O55" s="2"/>
      <c r="P55" s="2"/>
      <c r="Q55" s="2"/>
      <c r="R55" s="2"/>
      <c r="S55" s="2"/>
      <c r="T55" s="2"/>
      <c r="U55" s="2"/>
      <c r="V55" s="2"/>
      <c r="W55" s="2"/>
      <c r="X55" s="2"/>
      <c r="Y55" s="2"/>
      <c r="Z55" s="2"/>
    </row>
    <row r="56" customFormat="false" ht="15" hidden="false" customHeight="false" outlineLevel="0" collapsed="false">
      <c r="A56" s="4" t="s">
        <v>1221</v>
      </c>
      <c r="B56" s="56" t="n">
        <f aca="false">MIN(0,MIN(C51:Z51))</f>
        <v>-524.441621024855</v>
      </c>
      <c r="C56" s="2"/>
      <c r="D56" s="2"/>
      <c r="E56" s="2"/>
      <c r="F56" s="2"/>
      <c r="G56" s="2"/>
      <c r="H56" s="2"/>
      <c r="I56" s="2"/>
      <c r="J56" s="2"/>
      <c r="K56" s="2"/>
      <c r="L56" s="2"/>
      <c r="M56" s="2"/>
      <c r="N56" s="2"/>
      <c r="O56" s="2"/>
      <c r="P56" s="2"/>
      <c r="Q56" s="2"/>
      <c r="R56" s="2"/>
      <c r="S56" s="2"/>
      <c r="T56" s="2"/>
      <c r="U56" s="2"/>
      <c r="V56" s="2"/>
      <c r="W56" s="2"/>
      <c r="X56" s="2"/>
      <c r="Y56" s="2"/>
      <c r="Z56" s="2"/>
    </row>
    <row r="57" customFormat="false" ht="15" hidden="false" customHeight="false" outlineLevel="0" collapsed="false">
      <c r="A57" s="4" t="s">
        <v>1222</v>
      </c>
      <c r="B57" s="56" t="n">
        <f aca="false">N37</f>
        <v>8600.01986314665</v>
      </c>
      <c r="C57" s="2"/>
      <c r="D57" s="2"/>
      <c r="E57" s="2"/>
      <c r="F57" s="2"/>
      <c r="G57" s="2"/>
      <c r="H57" s="2"/>
      <c r="I57" s="2"/>
      <c r="J57" s="2"/>
      <c r="K57" s="2"/>
      <c r="L57" s="2"/>
      <c r="M57" s="2"/>
      <c r="N57" s="2"/>
      <c r="O57" s="2"/>
      <c r="P57" s="2"/>
      <c r="Q57" s="2"/>
      <c r="R57" s="2"/>
      <c r="S57" s="2"/>
      <c r="T57" s="2"/>
      <c r="U57" s="2"/>
      <c r="V57" s="2"/>
      <c r="W57" s="2"/>
      <c r="X57" s="2"/>
      <c r="Y57" s="2"/>
      <c r="Z57" s="2"/>
    </row>
    <row r="58" customFormat="false" ht="15" hidden="false" customHeight="false" outlineLevel="0" collapsed="false">
      <c r="A58" s="4" t="s">
        <v>1223</v>
      </c>
      <c r="B58" s="56" t="n">
        <f aca="false">Z37</f>
        <v>31225.5209479763</v>
      </c>
      <c r="C58" s="2"/>
      <c r="D58" s="2"/>
      <c r="E58" s="2"/>
      <c r="F58" s="2"/>
      <c r="G58" s="2"/>
      <c r="H58" s="2"/>
      <c r="I58" s="2"/>
      <c r="J58" s="2"/>
      <c r="K58" s="2"/>
      <c r="L58" s="2"/>
      <c r="M58" s="2"/>
      <c r="N58" s="2"/>
      <c r="O58" s="2"/>
      <c r="P58" s="2"/>
      <c r="Q58" s="2"/>
      <c r="R58" s="2"/>
      <c r="S58" s="2"/>
      <c r="T58" s="2"/>
      <c r="U58" s="2"/>
      <c r="V58" s="2"/>
      <c r="W58" s="2"/>
      <c r="X58" s="2"/>
      <c r="Y58" s="2"/>
      <c r="Z58" s="2"/>
    </row>
    <row r="59" customFormat="false" ht="15" hidden="false" customHeight="false" outlineLevel="0" collapsed="false">
      <c r="A59" s="4" t="s">
        <v>1224</v>
      </c>
      <c r="B59" s="68" t="n">
        <f aca="false">N31</f>
        <v>73.2116965665634</v>
      </c>
      <c r="C59" s="2"/>
      <c r="D59" s="2"/>
      <c r="E59" s="2"/>
      <c r="F59" s="2"/>
      <c r="G59" s="2"/>
      <c r="H59" s="2"/>
      <c r="I59" s="2"/>
      <c r="J59" s="2"/>
      <c r="K59" s="2"/>
      <c r="L59" s="2"/>
      <c r="M59" s="2"/>
      <c r="N59" s="2"/>
      <c r="O59" s="2"/>
      <c r="P59" s="2"/>
      <c r="Q59" s="2"/>
      <c r="R59" s="2"/>
      <c r="S59" s="2"/>
      <c r="T59" s="2"/>
      <c r="U59" s="2"/>
      <c r="V59" s="2"/>
      <c r="W59" s="2"/>
      <c r="X59" s="2"/>
      <c r="Y59" s="2"/>
      <c r="Z59" s="2"/>
    </row>
    <row r="60" customFormat="false" ht="15" hidden="false" customHeight="false" outlineLevel="0" collapsed="false">
      <c r="A60" s="4" t="s">
        <v>1225</v>
      </c>
      <c r="B60" s="68" t="n">
        <f aca="false">Z31</f>
        <v>258.899167163127</v>
      </c>
      <c r="C60" s="2"/>
      <c r="D60" s="2"/>
      <c r="E60" s="2"/>
      <c r="F60" s="2"/>
      <c r="G60" s="2"/>
      <c r="H60" s="2"/>
      <c r="I60" s="2"/>
      <c r="J60" s="2"/>
      <c r="K60" s="2"/>
      <c r="L60" s="2"/>
      <c r="M60" s="2"/>
      <c r="N60" s="2"/>
      <c r="O60" s="2"/>
      <c r="P60" s="2"/>
      <c r="Q60" s="2"/>
      <c r="R60" s="2"/>
      <c r="S60" s="2"/>
      <c r="T60" s="2"/>
      <c r="U60" s="2"/>
      <c r="V60" s="2"/>
      <c r="W60" s="2"/>
      <c r="X60" s="2"/>
      <c r="Y60" s="2"/>
      <c r="Z60" s="2"/>
    </row>
    <row r="61" customFormat="false" ht="15" hidden="false" customHeight="false" outlineLevel="0" collapsed="false">
      <c r="A61" s="4" t="s">
        <v>1226</v>
      </c>
      <c r="B61" s="46" t="n">
        <f aca="false">Z47</f>
        <v>0.542016974849498</v>
      </c>
      <c r="C61" s="2"/>
      <c r="D61" s="2"/>
      <c r="E61" s="2"/>
      <c r="F61" s="2"/>
      <c r="G61" s="2"/>
      <c r="H61" s="2"/>
      <c r="I61" s="2"/>
      <c r="J61" s="2"/>
      <c r="K61" s="2"/>
      <c r="L61" s="2"/>
      <c r="M61" s="2"/>
      <c r="N61" s="2"/>
      <c r="O61" s="2"/>
      <c r="P61" s="2"/>
      <c r="Q61" s="2"/>
      <c r="R61" s="2"/>
      <c r="S61" s="2"/>
      <c r="T61" s="2"/>
      <c r="U61" s="2"/>
      <c r="V61" s="2"/>
      <c r="W61" s="2"/>
      <c r="X61" s="2"/>
      <c r="Y61" s="2"/>
      <c r="Z61" s="2"/>
    </row>
    <row r="62" customFormat="false" ht="15" hidden="false" customHeight="false" outlineLevel="0" collapsed="false">
      <c r="A62" s="4" t="s">
        <v>1227</v>
      </c>
      <c r="B62" s="56" t="n">
        <f aca="false">Z51</f>
        <v>85197.1461341869</v>
      </c>
      <c r="C62" s="2"/>
      <c r="D62" s="2"/>
      <c r="E62" s="2"/>
      <c r="F62" s="2"/>
      <c r="G62" s="2"/>
      <c r="H62" s="2"/>
      <c r="I62" s="2"/>
      <c r="J62" s="2"/>
      <c r="K62" s="2"/>
      <c r="L62" s="2"/>
      <c r="M62" s="2"/>
      <c r="N62" s="2"/>
      <c r="O62" s="2"/>
      <c r="P62" s="2"/>
      <c r="Q62" s="2"/>
      <c r="R62" s="2"/>
      <c r="S62" s="2"/>
      <c r="T62" s="2"/>
      <c r="U62" s="2"/>
      <c r="V62" s="2"/>
      <c r="W62" s="2"/>
      <c r="X62" s="2"/>
      <c r="Y62" s="2"/>
      <c r="Z6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18"/>
  </cols>
  <sheetData>
    <row r="1" customFormat="false" ht="17.35" hidden="false" customHeight="false" outlineLevel="0" collapsed="false">
      <c r="A1" s="1" t="s">
        <v>1228</v>
      </c>
      <c r="B1" s="2"/>
      <c r="C1" s="2"/>
    </row>
    <row r="2" customFormat="false" ht="15" hidden="false" customHeight="false" outlineLevel="0" collapsed="false">
      <c r="A2" s="3" t="s">
        <v>1229</v>
      </c>
      <c r="B2" s="2"/>
      <c r="C2" s="2"/>
    </row>
    <row r="3" customFormat="false" ht="15" hidden="false" customHeight="false" outlineLevel="0" collapsed="false">
      <c r="A3" s="2"/>
      <c r="B3" s="2"/>
      <c r="C3" s="2"/>
    </row>
    <row r="4" customFormat="false" ht="30" hidden="false" customHeight="true" outlineLevel="0" collapsed="false">
      <c r="A4" s="6" t="s">
        <v>111</v>
      </c>
      <c r="B4" s="6" t="s">
        <v>18</v>
      </c>
      <c r="C4" s="6" t="s">
        <v>113</v>
      </c>
    </row>
    <row r="5" customFormat="false" ht="15" hidden="false" customHeight="false" outlineLevel="0" collapsed="false">
      <c r="A5" s="50" t="s">
        <v>1230</v>
      </c>
      <c r="B5" s="49" t="n">
        <f aca="false">Projection!$E$10*Plans!$D$6+Projection!$E$11*Plans!$E$6+Projection!$E$12*Plans!$F$6+Projection!$E$13*Plans!$G$6</f>
        <v>140.5</v>
      </c>
      <c r="C5" s="2"/>
    </row>
    <row r="6" customFormat="false" ht="15" hidden="false" customHeight="false" outlineLevel="0" collapsed="false">
      <c r="A6" s="50" t="s">
        <v>1231</v>
      </c>
      <c r="B6" s="49" t="n">
        <f aca="false">B5*(1-Inputs!$B$32*Inputs!$B$31)*(1-Projection!$E$18)</f>
        <v>113.45255575</v>
      </c>
      <c r="C6" s="2"/>
    </row>
    <row r="7" customFormat="false" ht="15" hidden="false" customHeight="false" outlineLevel="0" collapsed="false">
      <c r="A7" s="50" t="s">
        <v>1232</v>
      </c>
      <c r="B7" s="49" t="n">
        <f aca="false">Projection!$E$10*Plans!$D$54+Projection!$E$11*Plans!$E$54+Projection!$E$12*Plans!$F$54+Projection!$E$13*Plans!$G$54</f>
        <v>35.978132926443</v>
      </c>
      <c r="C7" s="2"/>
    </row>
    <row r="8" customFormat="false" ht="15" hidden="false" customHeight="false" outlineLevel="0" collapsed="false">
      <c r="A8" s="50" t="s">
        <v>1233</v>
      </c>
      <c r="B8" s="49" t="n">
        <f aca="false">B6*(Inputs!$B$16+Inputs!$B$18+Inputs!$B$19)+Inputs!$B$17</f>
        <v>8.725310291875</v>
      </c>
      <c r="C8" s="2"/>
    </row>
    <row r="9" customFormat="false" ht="15" hidden="false" customHeight="false" outlineLevel="0" collapsed="false">
      <c r="A9" s="50" t="s">
        <v>1234</v>
      </c>
      <c r="B9" s="49" t="n">
        <f aca="false">Projection!$E$22*Projection!$E$23</f>
        <v>7.34226974115274</v>
      </c>
      <c r="C9" s="2"/>
    </row>
    <row r="10" customFormat="false" ht="15" hidden="false" customHeight="false" outlineLevel="0" collapsed="false">
      <c r="A10" s="4" t="s">
        <v>1235</v>
      </c>
      <c r="B10" s="49" t="n">
        <f aca="false">B6-B7-B8-B9</f>
        <v>61.4068427905293</v>
      </c>
      <c r="C10" s="2"/>
    </row>
    <row r="11" customFormat="false" ht="15" hidden="false" customHeight="false" outlineLevel="0" collapsed="false">
      <c r="A11" s="50" t="s">
        <v>1236</v>
      </c>
      <c r="B11" s="74" t="n">
        <v>600000</v>
      </c>
      <c r="C11" s="2"/>
    </row>
    <row r="12" customFormat="false" ht="15" hidden="false" customHeight="false" outlineLevel="0" collapsed="false">
      <c r="A12" s="50" t="s">
        <v>1237</v>
      </c>
      <c r="B12" s="49" t="n">
        <f aca="false">B11/Inputs!$B$5</f>
        <v>2165.36143491284</v>
      </c>
      <c r="C12" s="2"/>
    </row>
    <row r="13" customFormat="false" ht="15" hidden="false" customHeight="false" outlineLevel="0" collapsed="false">
      <c r="A13" s="2"/>
      <c r="B13" s="2"/>
      <c r="C13" s="2"/>
    </row>
    <row r="14" customFormat="false" ht="30" hidden="false" customHeight="true" outlineLevel="0" collapsed="false">
      <c r="A14" s="6" t="s">
        <v>1238</v>
      </c>
      <c r="B14" s="6" t="s">
        <v>1239</v>
      </c>
      <c r="C14" s="6" t="s">
        <v>1240</v>
      </c>
    </row>
    <row r="15" customFormat="false" ht="15" hidden="false" customHeight="false" outlineLevel="0" collapsed="false">
      <c r="A15" s="50" t="s">
        <v>1241</v>
      </c>
      <c r="B15" s="68" t="n">
        <f aca="false">ROUNDUP(C15/$B$10,0)</f>
        <v>5</v>
      </c>
      <c r="C15" s="75" t="n">
        <f aca="false">'Fixed Costs'!$C$25</f>
        <v>284.466666666667</v>
      </c>
    </row>
    <row r="16" customFormat="false" ht="15" hidden="false" customHeight="false" outlineLevel="0" collapsed="false">
      <c r="A16" s="50" t="s">
        <v>1242</v>
      </c>
      <c r="B16" s="68" t="n">
        <f aca="false">ROUNDUP(C16/$B$10,0)</f>
        <v>27</v>
      </c>
      <c r="C16" s="75" t="n">
        <f aca="false">'Fixed Costs'!$D$25</f>
        <v>1619.86666666667</v>
      </c>
    </row>
    <row r="17" customFormat="false" ht="15" hidden="false" customHeight="false" outlineLevel="0" collapsed="false">
      <c r="A17" s="50" t="s">
        <v>1243</v>
      </c>
      <c r="B17" s="68" t="n">
        <f aca="false">ROUNDUP(C17/$B$10,0)</f>
        <v>97</v>
      </c>
      <c r="C17" s="75" t="n">
        <f aca="false">'Fixed Costs'!$E$25</f>
        <v>5951.06666666667</v>
      </c>
    </row>
    <row r="18" customFormat="false" ht="15" hidden="false" customHeight="false" outlineLevel="0" collapsed="false">
      <c r="A18" s="50" t="s">
        <v>1244</v>
      </c>
      <c r="B18" s="68" t="n">
        <f aca="false">ROUNDUP(C18/$B$10,0)</f>
        <v>277</v>
      </c>
      <c r="C18" s="75" t="n">
        <f aca="false">'Fixed Costs'!$F$25</f>
        <v>17007.4666666667</v>
      </c>
    </row>
    <row r="19" customFormat="false" ht="15" hidden="false" customHeight="false" outlineLevel="0" collapsed="false">
      <c r="A19" s="50" t="s">
        <v>1245</v>
      </c>
      <c r="B19" s="68" t="n">
        <f aca="false">ROUNDUP(C19/$B$10,0)</f>
        <v>40</v>
      </c>
      <c r="C19" s="55" t="n">
        <f aca="false">'Fixed Costs'!$C$25+$B$12</f>
        <v>2449.82810157951</v>
      </c>
    </row>
    <row r="20" customFormat="false" ht="15" hidden="false" customHeight="false" outlineLevel="0" collapsed="false">
      <c r="A20" s="50" t="s">
        <v>1246</v>
      </c>
      <c r="B20" s="68" t="n">
        <f aca="false">ROUNDUP(C20/$B$10,0)</f>
        <v>62</v>
      </c>
      <c r="C20" s="55" t="n">
        <f aca="false">'Fixed Costs'!$D$25+$B$12</f>
        <v>3785.22810157951</v>
      </c>
    </row>
    <row r="21" customFormat="false" ht="15" hidden="false" customHeight="false" outlineLevel="0" collapsed="false">
      <c r="A21" s="50" t="s">
        <v>1247</v>
      </c>
      <c r="B21" s="68" t="n">
        <f aca="false">ROUNDUP(C21/$B$10,0)</f>
        <v>133</v>
      </c>
      <c r="C21" s="55" t="n">
        <f aca="false">'Fixed Costs'!$E$25+$B$12</f>
        <v>8116.42810157951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14"/>
  </cols>
  <sheetData>
    <row r="1" customFormat="false" ht="17.35" hidden="false" customHeight="false" outlineLevel="0" collapsed="false">
      <c r="A1" s="1" t="s">
        <v>1248</v>
      </c>
      <c r="B1" s="2"/>
      <c r="C1" s="2"/>
      <c r="D1" s="2"/>
      <c r="E1" s="2"/>
    </row>
    <row r="2" customFormat="false" ht="15" hidden="false" customHeight="false" outlineLevel="0" collapsed="false">
      <c r="A2" s="3" t="s">
        <v>1249</v>
      </c>
      <c r="B2" s="2"/>
      <c r="C2" s="2"/>
      <c r="D2" s="2"/>
      <c r="E2" s="2"/>
    </row>
    <row r="3" customFormat="false" ht="15" hidden="false" customHeight="false" outlineLevel="0" collapsed="false">
      <c r="A3" s="2"/>
      <c r="B3" s="2"/>
      <c r="C3" s="2"/>
      <c r="D3" s="2"/>
      <c r="E3" s="2"/>
    </row>
    <row r="4" customFormat="false" ht="30" hidden="false" customHeight="true" outlineLevel="0" collapsed="false">
      <c r="A4" s="6" t="s">
        <v>1250</v>
      </c>
      <c r="B4" s="6" t="s">
        <v>1251</v>
      </c>
      <c r="C4" s="6" t="s">
        <v>1252</v>
      </c>
      <c r="D4" s="6" t="s">
        <v>1253</v>
      </c>
      <c r="E4" s="6" t="s">
        <v>1254</v>
      </c>
    </row>
    <row r="5" customFormat="false" ht="15" hidden="false" customHeight="false" outlineLevel="0" collapsed="false">
      <c r="A5" s="76" t="str">
        <f aca="false">'Video Credits'!A5</f>
        <v>Draft (Veo 3.1 Lite) 720p</v>
      </c>
      <c r="B5" s="69" t="n">
        <f aca="false">'Video Credits'!F5</f>
        <v>0.422</v>
      </c>
      <c r="C5" s="69" t="n">
        <f aca="false">'Video Credits'!H5</f>
        <v>0.15</v>
      </c>
      <c r="D5" s="59" t="n">
        <f aca="false">IF(C5=0,0,B5/C5)</f>
        <v>2.81333333333333</v>
      </c>
      <c r="E5" s="76" t="str">
        <f aca="false">'Video Credits'!N5</f>
        <v>kie</v>
      </c>
    </row>
    <row r="6" customFormat="false" ht="15" hidden="false" customHeight="false" outlineLevel="0" collapsed="false">
      <c r="A6" s="76" t="str">
        <f aca="false">'Video Credits'!A6</f>
        <v>Draft (Veo 3.1 Lite) 1080p</v>
      </c>
      <c r="B6" s="69" t="n">
        <f aca="false">'Video Credits'!F6</f>
        <v>0.6752</v>
      </c>
      <c r="C6" s="69" t="n">
        <f aca="false">'Video Credits'!H6</f>
        <v>0.175</v>
      </c>
      <c r="D6" s="59" t="n">
        <f aca="false">IF(C6=0,0,B6/C6)</f>
        <v>3.85828571428571</v>
      </c>
      <c r="E6" s="76" t="str">
        <f aca="false">'Video Credits'!N6</f>
        <v>kie</v>
      </c>
    </row>
    <row r="7" customFormat="false" ht="15" hidden="false" customHeight="false" outlineLevel="0" collapsed="false">
      <c r="A7" s="76" t="str">
        <f aca="false">'Video Credits'!A7</f>
        <v>Standard (Veo 3.1 Fast) 720p</v>
      </c>
      <c r="B7" s="69" t="n">
        <f aca="false">'Video Credits'!F7</f>
        <v>0.844</v>
      </c>
      <c r="C7" s="69" t="n">
        <f aca="false">'Video Credits'!H7</f>
        <v>0.3</v>
      </c>
      <c r="D7" s="59" t="n">
        <f aca="false">IF(C7=0,0,B7/C7)</f>
        <v>2.81333333333333</v>
      </c>
      <c r="E7" s="76" t="str">
        <f aca="false">'Video Credits'!N7</f>
        <v>kie</v>
      </c>
    </row>
    <row r="8" customFormat="false" ht="15" hidden="false" customHeight="false" outlineLevel="0" collapsed="false">
      <c r="A8" s="76" t="str">
        <f aca="false">'Video Credits'!A8</f>
        <v>Standard (Veo 3.1 Fast) 1080p</v>
      </c>
      <c r="B8" s="69" t="n">
        <f aca="false">'Video Credits'!F8</f>
        <v>1.0128</v>
      </c>
      <c r="C8" s="69" t="n">
        <f aca="false">'Video Credits'!H8</f>
        <v>0.325</v>
      </c>
      <c r="D8" s="59" t="n">
        <f aca="false">IF(C8=0,0,B8/C8)</f>
        <v>3.11630769230769</v>
      </c>
      <c r="E8" s="76" t="str">
        <f aca="false">'Video Credits'!N8</f>
        <v>kie</v>
      </c>
    </row>
    <row r="9" customFormat="false" ht="15" hidden="false" customHeight="false" outlineLevel="0" collapsed="false">
      <c r="A9" s="76" t="str">
        <f aca="false">'Video Credits'!A9</f>
        <v>Premium (Hailuo 3 / Gemini Omni), 8s, 2 photos</v>
      </c>
      <c r="B9" s="69" t="n">
        <f aca="false">'Video Credits'!F9</f>
        <v>1.1816</v>
      </c>
      <c r="C9" s="69" t="n">
        <f aca="false">'Video Credits'!H9</f>
        <v>0.8</v>
      </c>
      <c r="D9" s="59" t="n">
        <f aca="false">IF(C9=0,0,B9/C9)</f>
        <v>1.477</v>
      </c>
      <c r="E9" s="76" t="str">
        <f aca="false">'Video Credits'!N9</f>
        <v>openrouter</v>
      </c>
    </row>
    <row r="10" customFormat="false" ht="15" hidden="false" customHeight="false" outlineLevel="0" collapsed="false">
      <c r="A10" s="76" t="str">
        <f aca="false">'Video Credits'!A10</f>
        <v>Premium, 10s, 2 photos</v>
      </c>
      <c r="B10" s="69" t="n">
        <f aca="false">'Video Credits'!F10</f>
        <v>1.4559</v>
      </c>
      <c r="C10" s="69" t="n">
        <f aca="false">'Video Credits'!H10</f>
        <v>1</v>
      </c>
      <c r="D10" s="59" t="n">
        <f aca="false">IF(C10=0,0,B10/C10)</f>
        <v>1.4559</v>
      </c>
      <c r="E10" s="76" t="str">
        <f aca="false">'Video Credits'!N10</f>
        <v>openrouter</v>
      </c>
    </row>
    <row r="11" customFormat="false" ht="15" hidden="false" customHeight="false" outlineLevel="0" collapsed="false">
      <c r="A11" s="76" t="str">
        <f aca="false">'Video Credits'!A11</f>
        <v>Cinematic (Hailuo 3 / MiniMax H3), 10s</v>
      </c>
      <c r="B11" s="69" t="n">
        <f aca="false">'Video Credits'!F11</f>
        <v>1.4559</v>
      </c>
      <c r="C11" s="69" t="n">
        <f aca="false">'Video Credits'!H11</f>
        <v>0.5</v>
      </c>
      <c r="D11" s="59" t="n">
        <f aca="false">IF(C11=0,0,B11/C11)</f>
        <v>2.9118</v>
      </c>
      <c r="E11" s="76" t="str">
        <f aca="false">'Video Credits'!N11</f>
        <v>openrouter</v>
      </c>
    </row>
    <row r="12" customFormat="false" ht="15" hidden="false" customHeight="false" outlineLevel="0" collapsed="false">
      <c r="A12" s="76" t="str">
        <f aca="false">'Video Credits'!A12</f>
        <v>Long take (Seedance 2.0 Fast), 12s 720p</v>
      </c>
      <c r="B12" s="69" t="n">
        <f aca="false">'Video Credits'!F12</f>
        <v>1.1485152</v>
      </c>
      <c r="C12" s="69" t="n">
        <f aca="false">'Video Credits'!H12</f>
        <v>1.488</v>
      </c>
      <c r="D12" s="59" t="n">
        <f aca="false">IF(C12=0,0,B12/C12)</f>
        <v>0.771851612903226</v>
      </c>
      <c r="E12" s="76" t="str">
        <f aca="false">'Video Credits'!N12</f>
        <v>openrouter</v>
      </c>
    </row>
    <row r="13" customFormat="false" ht="15" hidden="false" customHeight="false" outlineLevel="0" collapsed="false">
      <c r="A13" s="76" t="str">
        <f aca="false">'Video Credits'!A13</f>
        <v>Long take, 15s 720p</v>
      </c>
      <c r="B13" s="69" t="n">
        <f aca="false">'Video Credits'!F13</f>
        <v>1.435644</v>
      </c>
      <c r="C13" s="69" t="n">
        <f aca="false">'Video Credits'!H13</f>
        <v>1.86</v>
      </c>
      <c r="D13" s="59" t="n">
        <f aca="false">IF(C13=0,0,B13/C13)</f>
        <v>0.771851612903226</v>
      </c>
      <c r="E13" s="76" t="str">
        <f aca="false">'Video Credits'!N13</f>
        <v>openrouter</v>
      </c>
    </row>
    <row r="14" customFormat="false" ht="15" hidden="false" customHeight="false" outlineLevel="0" collapsed="false">
      <c r="A14" s="76" t="str">
        <f aca="false">'Video Credits'!A14</f>
        <v>Long take, 15s 480p</v>
      </c>
      <c r="B14" s="69" t="n">
        <f aca="false">'Video Credits'!F14</f>
        <v>0.6385624875</v>
      </c>
      <c r="C14" s="69" t="n">
        <f aca="false">'Video Credits'!H14</f>
        <v>0.8775</v>
      </c>
      <c r="D14" s="59" t="n">
        <f aca="false">IF(C14=0,0,B14/C14)</f>
        <v>0.727706538461539</v>
      </c>
      <c r="E14" s="76" t="str">
        <f aca="false">'Video Credits'!N14</f>
        <v>openrouter</v>
      </c>
    </row>
    <row r="15" customFormat="false" ht="15" hidden="false" customHeight="false" outlineLevel="0" collapsed="false">
      <c r="A15" s="76" t="str">
        <f aca="false">'Video Credits'!A15</f>
        <v>Variation (Grok Imagine on KIE), 6s 720p</v>
      </c>
      <c r="B15" s="69" t="n">
        <f aca="false">'Video Credits'!F15</f>
        <v>0.3165</v>
      </c>
      <c r="C15" s="69" t="n">
        <f aca="false">'Video Credits'!H15</f>
        <v>0.12</v>
      </c>
      <c r="D15" s="59" t="n">
        <f aca="false">IF(C15=0,0,B15/C15)</f>
        <v>2.6375</v>
      </c>
      <c r="E15" s="76" t="str">
        <f aca="false">'Video Credits'!N15</f>
        <v>kie</v>
      </c>
    </row>
    <row r="16" customFormat="false" ht="15" hidden="false" customHeight="false" outlineLevel="0" collapsed="false">
      <c r="A16" s="76" t="str">
        <f aca="false">'Video Credits'!A16</f>
        <v>Variation, 6s 480p</v>
      </c>
      <c r="B16" s="69" t="n">
        <f aca="false">'Video Credits'!F16</f>
        <v>0.3165</v>
      </c>
      <c r="C16" s="69" t="n">
        <f aca="false">'Video Credits'!H16</f>
        <v>0.06</v>
      </c>
      <c r="D16" s="59" t="n">
        <f aca="false">IF(C16=0,0,B16/C16)</f>
        <v>5.275</v>
      </c>
      <c r="E16" s="76" t="str">
        <f aca="false">'Video Credits'!N16</f>
        <v>kie</v>
      </c>
    </row>
    <row r="17" customFormat="false" ht="15" hidden="false" customHeight="false" outlineLevel="0" collapsed="false">
      <c r="A17" s="76" t="str">
        <f aca="false">'Video Credits'!A17</f>
        <v>Studio video 6s (premium key)</v>
      </c>
      <c r="B17" s="69" t="n">
        <f aca="false">'Video Credits'!F17</f>
        <v>0.8229</v>
      </c>
      <c r="C17" s="69" t="n">
        <f aca="false">'Video Credits'!H17</f>
        <v>0.6</v>
      </c>
      <c r="D17" s="59" t="n">
        <f aca="false">IF(C17=0,0,B17/C17)</f>
        <v>1.3715</v>
      </c>
      <c r="E17" s="76" t="str">
        <f aca="false">'Video Credits'!N17</f>
        <v>openrouter</v>
      </c>
    </row>
    <row r="18" customFormat="false" ht="15" hidden="false" customHeight="false" outlineLevel="0" collapsed="false">
      <c r="A18" s="2"/>
      <c r="B18" s="2"/>
      <c r="C18" s="2"/>
      <c r="D18" s="2"/>
      <c r="E18" s="2"/>
    </row>
    <row r="19" customFormat="false" ht="30" hidden="false" customHeight="true" outlineLevel="0" collapsed="false">
      <c r="A19" s="6" t="s">
        <v>1255</v>
      </c>
      <c r="B19" s="6" t="s">
        <v>13</v>
      </c>
      <c r="C19" s="6" t="s">
        <v>14</v>
      </c>
      <c r="D19" s="6" t="s">
        <v>15</v>
      </c>
      <c r="E19" s="6" t="s">
        <v>16</v>
      </c>
    </row>
    <row r="20" customFormat="false" ht="15" hidden="false" customHeight="false" outlineLevel="0" collapsed="false">
      <c r="A20" s="50" t="s">
        <v>1256</v>
      </c>
      <c r="B20" s="49" t="n">
        <f aca="false">Plans!$D$11*Inputs!$B$22*'Video Credits'!$K$20</f>
        <v>1.9412137994</v>
      </c>
      <c r="C20" s="49" t="n">
        <f aca="false">Plans!$E$11*Inputs!$B$22*'Video Credits'!$K$20</f>
        <v>5.8236413982</v>
      </c>
      <c r="D20" s="49" t="n">
        <f aca="false">Plans!$F$11*Inputs!$B$22*'Video Credits'!$K$20</f>
        <v>19.412137994</v>
      </c>
      <c r="E20" s="49" t="n">
        <f aca="false">Plans!$G$11*Inputs!$B$22*'Video Credits'!$K$20</f>
        <v>48.530344985</v>
      </c>
    </row>
    <row r="21" customFormat="false" ht="15" hidden="false" customHeight="false" outlineLevel="0" collapsed="false">
      <c r="A21" s="50" t="s">
        <v>1257</v>
      </c>
      <c r="B21" s="49" t="n">
        <f aca="false">Plans!$D$11*Inputs!$B$22*'Video Credits'!$K$19</f>
        <v>1.0707508394</v>
      </c>
      <c r="C21" s="49" t="n">
        <f aca="false">Plans!$E$11*Inputs!$B$22*'Video Credits'!$K$19</f>
        <v>3.2122525182</v>
      </c>
      <c r="D21" s="49" t="n">
        <f aca="false">Plans!$F$11*Inputs!$B$22*'Video Credits'!$K$19</f>
        <v>10.707508394</v>
      </c>
      <c r="E21" s="49" t="n">
        <f aca="false">Plans!$G$11*Inputs!$B$22*'Video Credits'!$K$19</f>
        <v>26.768770985</v>
      </c>
    </row>
    <row r="22" customFormat="false" ht="15" hidden="false" customHeight="false" outlineLevel="0" collapsed="false">
      <c r="A22" s="4" t="s">
        <v>1258</v>
      </c>
      <c r="B22" s="48" t="n">
        <f aca="false">B20-B21</f>
        <v>0.87046296</v>
      </c>
      <c r="C22" s="48" t="n">
        <f aca="false">C20-C21</f>
        <v>2.61138888</v>
      </c>
      <c r="D22" s="48" t="n">
        <f aca="false">D20-D21</f>
        <v>8.7046296</v>
      </c>
      <c r="E22" s="48" t="n">
        <f aca="false">E20-E21</f>
        <v>21.761574</v>
      </c>
    </row>
    <row r="23" customFormat="false" ht="15" hidden="false" customHeight="false" outlineLevel="0" collapsed="false">
      <c r="A23" s="2"/>
      <c r="B23" s="2"/>
      <c r="C23" s="2"/>
      <c r="D23" s="2"/>
      <c r="E23" s="2"/>
    </row>
    <row r="24" customFormat="false" ht="15" hidden="false" customHeight="false" outlineLevel="0" collapsed="false">
      <c r="A24" s="4" t="s">
        <v>1259</v>
      </c>
      <c r="B24" s="69" t="n">
        <f aca="false">'Video Credits'!$K$20</f>
        <v>0.808839083083333</v>
      </c>
      <c r="C24" s="2"/>
      <c r="D24" s="2"/>
      <c r="E24" s="2"/>
    </row>
    <row r="25" customFormat="false" ht="15" hidden="false" customHeight="false" outlineLevel="0" collapsed="false">
      <c r="A25" s="4" t="s">
        <v>1260</v>
      </c>
      <c r="B25" s="69" t="n">
        <f aca="false">'Video Credits'!$K$21</f>
        <v>0.391383333333333</v>
      </c>
      <c r="C25" s="2"/>
      <c r="D25" s="2"/>
      <c r="E25" s="2"/>
    </row>
    <row r="26" customFormat="false" ht="15" hidden="false" customHeight="false" outlineLevel="0" collapsed="false">
      <c r="A26" s="3" t="s">
        <v>1261</v>
      </c>
      <c r="B26" s="2"/>
      <c r="C26" s="2"/>
      <c r="D26" s="2"/>
      <c r="E2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4" min="4" style="0" width="10"/>
    <col collapsed="false" customWidth="true" hidden="false" outlineLevel="0" max="5" min="5" style="0" width="60"/>
  </cols>
  <sheetData>
    <row r="1" customFormat="false" ht="17.35" hidden="false" customHeight="false" outlineLevel="0" collapsed="false">
      <c r="A1" s="1" t="s">
        <v>1262</v>
      </c>
      <c r="B1" s="2"/>
      <c r="C1" s="2"/>
      <c r="D1" s="2"/>
      <c r="E1" s="2"/>
    </row>
    <row r="2" customFormat="false" ht="15" hidden="false" customHeight="false" outlineLevel="0" collapsed="false">
      <c r="A2" s="3" t="s">
        <v>1263</v>
      </c>
      <c r="B2" s="2"/>
      <c r="C2" s="2"/>
      <c r="D2" s="2"/>
      <c r="E2" s="2"/>
    </row>
    <row r="3" customFormat="false" ht="15" hidden="false" customHeight="false" outlineLevel="0" collapsed="false">
      <c r="A3" s="2"/>
      <c r="B3" s="2"/>
      <c r="C3" s="2"/>
      <c r="D3" s="2"/>
      <c r="E3" s="2"/>
    </row>
    <row r="4" customFormat="false" ht="30" hidden="false" customHeight="true" outlineLevel="0" collapsed="false">
      <c r="A4" s="6" t="s">
        <v>1264</v>
      </c>
      <c r="B4" s="6" t="s">
        <v>1265</v>
      </c>
      <c r="C4" s="6" t="s">
        <v>1266</v>
      </c>
      <c r="D4" s="6" t="s">
        <v>1267</v>
      </c>
      <c r="E4" s="6" t="s">
        <v>1268</v>
      </c>
    </row>
    <row r="5" customFormat="false" ht="15" hidden="false" customHeight="false" outlineLevel="0" collapsed="false">
      <c r="A5" s="50" t="s">
        <v>1269</v>
      </c>
      <c r="B5" s="77" t="n">
        <v>0.0082</v>
      </c>
      <c r="C5" s="78" t="n">
        <f aca="false">'Unit Costs'!$AB$19</f>
        <v>0.00893005753125</v>
      </c>
      <c r="D5" s="79" t="n">
        <f aca="false">C5/B5-1</f>
        <v>0.0890314062499999</v>
      </c>
      <c r="E5" s="3" t="s">
        <v>1270</v>
      </c>
    </row>
    <row r="6" customFormat="false" ht="15" hidden="false" customHeight="false" outlineLevel="0" collapsed="false">
      <c r="A6" s="50" t="s">
        <v>1271</v>
      </c>
      <c r="B6" s="77" t="n">
        <v>0.0082</v>
      </c>
      <c r="C6" s="78" t="n">
        <f aca="false">'Unit Costs'!$AB$20</f>
        <v>0.04822555021875</v>
      </c>
      <c r="D6" s="79" t="n">
        <f aca="false">C6/B6-1</f>
        <v>4.88116466082317</v>
      </c>
      <c r="E6" s="3" t="s">
        <v>1272</v>
      </c>
    </row>
    <row r="7" customFormat="false" ht="15" hidden="false" customHeight="false" outlineLevel="0" collapsed="false">
      <c r="A7" s="50" t="s">
        <v>24</v>
      </c>
      <c r="B7" s="77" t="n">
        <v>0.0801</v>
      </c>
      <c r="C7" s="78" t="n">
        <f aca="false">'Unit Costs'!$AB$24</f>
        <v>0.234385407875</v>
      </c>
      <c r="D7" s="79" t="n">
        <f aca="false">C7/B7-1</f>
        <v>1.92615989856429</v>
      </c>
      <c r="E7" s="3" t="s">
        <v>1273</v>
      </c>
    </row>
    <row r="8" customFormat="false" ht="15" hidden="false" customHeight="false" outlineLevel="0" collapsed="false">
      <c r="A8" s="50" t="s">
        <v>1274</v>
      </c>
      <c r="B8" s="77" t="n">
        <v>0.0153</v>
      </c>
      <c r="C8" s="78" t="n">
        <f aca="false">'Unit Costs'!$AB$27</f>
        <v>0.022781478875</v>
      </c>
      <c r="D8" s="79" t="n">
        <f aca="false">C8/B8-1</f>
        <v>0.488985547385621</v>
      </c>
      <c r="E8" s="3" t="s">
        <v>1275</v>
      </c>
    </row>
    <row r="9" customFormat="false" ht="15" hidden="false" customHeight="false" outlineLevel="0" collapsed="false">
      <c r="A9" s="50" t="s">
        <v>26</v>
      </c>
      <c r="B9" s="77" t="n">
        <v>0.0417</v>
      </c>
      <c r="C9" s="78" t="n">
        <f aca="false">'Unit Costs'!$AB$28</f>
        <v>0.06616241545</v>
      </c>
      <c r="D9" s="79" t="n">
        <f aca="false">C9/B9-1</f>
        <v>0.586628667865707</v>
      </c>
      <c r="E9" s="3" t="s">
        <v>1276</v>
      </c>
    </row>
    <row r="10" customFormat="false" ht="15" hidden="false" customHeight="false" outlineLevel="0" collapsed="false">
      <c r="A10" s="50" t="s">
        <v>25</v>
      </c>
      <c r="B10" s="77" t="n">
        <v>0.0227</v>
      </c>
      <c r="C10" s="78" t="n">
        <f aca="false">'Unit Costs'!$AB$31</f>
        <v>0.193155572125</v>
      </c>
      <c r="D10" s="79" t="n">
        <f aca="false">C10/B10-1</f>
        <v>7.5090560407489</v>
      </c>
      <c r="E10" s="3" t="s">
        <v>1277</v>
      </c>
    </row>
    <row r="11" customFormat="false" ht="15" hidden="false" customHeight="false" outlineLevel="0" collapsed="false">
      <c r="A11" s="50" t="s">
        <v>768</v>
      </c>
      <c r="B11" s="77" t="n">
        <v>0.1001</v>
      </c>
      <c r="C11" s="78" t="n">
        <f aca="false">'Unit Costs'!$AB$38</f>
        <v>0.195909269625</v>
      </c>
      <c r="D11" s="79" t="n">
        <f aca="false">C11/B11-1</f>
        <v>0.957135560689311</v>
      </c>
      <c r="E11" s="3" t="s">
        <v>1278</v>
      </c>
    </row>
    <row r="12" customFormat="false" ht="15" hidden="false" customHeight="false" outlineLevel="0" collapsed="false">
      <c r="A12" s="50" t="s">
        <v>771</v>
      </c>
      <c r="B12" s="77" t="n">
        <v>0.1159</v>
      </c>
      <c r="C12" s="78" t="n">
        <f aca="false">'Unit Costs'!$AB$40</f>
        <v>0.2434393425</v>
      </c>
      <c r="D12" s="79" t="n">
        <f aca="false">C12/B12-1</f>
        <v>1.10042573339085</v>
      </c>
      <c r="E12" s="3" t="s">
        <v>1279</v>
      </c>
    </row>
    <row r="13" customFormat="false" ht="15" hidden="false" customHeight="false" outlineLevel="0" collapsed="false">
      <c r="A13" s="50" t="s">
        <v>1280</v>
      </c>
      <c r="B13" s="77" t="n">
        <v>0.0333</v>
      </c>
      <c r="C13" s="78" t="n">
        <f aca="false">'Unit Costs'!$AB$43</f>
        <v>0.0183909676</v>
      </c>
      <c r="D13" s="79" t="n">
        <f aca="false">C13/B13-1</f>
        <v>-0.447718690690691</v>
      </c>
      <c r="E13" s="3" t="s">
        <v>1281</v>
      </c>
    </row>
    <row r="14" customFormat="false" ht="15" hidden="false" customHeight="false" outlineLevel="0" collapsed="false">
      <c r="A14" s="50" t="s">
        <v>436</v>
      </c>
      <c r="B14" s="77" t="n">
        <v>0.1012</v>
      </c>
      <c r="C14" s="78" t="n">
        <f aca="false">'Unit Costs'!$AB$53</f>
        <v>0.28623442375</v>
      </c>
      <c r="D14" s="79" t="n">
        <f aca="false">C14/B14-1</f>
        <v>1.82840339673913</v>
      </c>
      <c r="E14" s="3" t="s">
        <v>1279</v>
      </c>
    </row>
    <row r="15" customFormat="false" ht="15" hidden="false" customHeight="false" outlineLevel="0" collapsed="false">
      <c r="A15" s="50" t="s">
        <v>1282</v>
      </c>
      <c r="B15" s="77" t="n">
        <v>0.9</v>
      </c>
      <c r="C15" s="78" t="n">
        <f aca="false">'Unit Costs'!$AB$55</f>
        <v>1.6</v>
      </c>
      <c r="D15" s="79" t="n">
        <f aca="false">C15/B15-1</f>
        <v>0.777777777777778</v>
      </c>
      <c r="E15" s="3" t="s">
        <v>1283</v>
      </c>
    </row>
    <row r="16" customFormat="false" ht="15" hidden="false" customHeight="false" outlineLevel="0" collapsed="false">
      <c r="A16" s="50" t="s">
        <v>1284</v>
      </c>
      <c r="B16" s="77" t="n">
        <v>0.1081</v>
      </c>
      <c r="C16" s="78" t="n">
        <f aca="false">'Unit Costs'!$AB$57</f>
        <v>0.0512745825</v>
      </c>
      <c r="D16" s="79" t="n">
        <f aca="false">C16/B16-1</f>
        <v>-0.52567453746531</v>
      </c>
      <c r="E16" s="3" t="s">
        <v>1285</v>
      </c>
    </row>
    <row r="17" customFormat="false" ht="15" hidden="false" customHeight="false" outlineLevel="0" collapsed="false">
      <c r="A17" s="50" t="s">
        <v>392</v>
      </c>
      <c r="B17" s="77" t="n">
        <v>0.026</v>
      </c>
      <c r="C17" s="78" t="n">
        <f aca="false">'Unit Costs'!$AB$16</f>
        <v>0.036783698575</v>
      </c>
      <c r="D17" s="79" t="n">
        <f aca="false">C17/B17-1</f>
        <v>0.4147576375</v>
      </c>
      <c r="E17" s="3" t="s">
        <v>1286</v>
      </c>
    </row>
    <row r="18" customFormat="false" ht="15" hidden="false" customHeight="false" outlineLevel="0" collapsed="false">
      <c r="A18" s="50" t="s">
        <v>1287</v>
      </c>
      <c r="B18" s="77" t="n">
        <v>0.0121</v>
      </c>
      <c r="C18" s="78" t="n">
        <f aca="false">'Unit Costs'!$AB$50</f>
        <v>0.0159173125</v>
      </c>
      <c r="D18" s="79" t="n">
        <f aca="false">C18/B18-1</f>
        <v>0.315480371900826</v>
      </c>
      <c r="E18" s="3" t="s">
        <v>1288</v>
      </c>
    </row>
    <row r="19" customFormat="false" ht="15" hidden="false" customHeight="false" outlineLevel="0" collapsed="false">
      <c r="A19" s="50" t="s">
        <v>1289</v>
      </c>
      <c r="B19" s="77" t="n">
        <v>0.3</v>
      </c>
      <c r="C19" s="78" t="n">
        <f aca="false">'Video Credits'!F7</f>
        <v>0.844</v>
      </c>
      <c r="D19" s="79" t="n">
        <f aca="false">C19/B19-1</f>
        <v>1.81333333333333</v>
      </c>
      <c r="E19" s="3" t="s">
        <v>1290</v>
      </c>
    </row>
    <row r="20" customFormat="false" ht="15" hidden="false" customHeight="false" outlineLevel="0" collapsed="false">
      <c r="A20" s="2"/>
      <c r="B20" s="2"/>
      <c r="C20" s="2"/>
      <c r="D20" s="2"/>
      <c r="E20" s="2"/>
    </row>
    <row r="21" customFormat="false" ht="30" hidden="false" customHeight="true" outlineLevel="0" collapsed="false">
      <c r="A21" s="6" t="s">
        <v>4</v>
      </c>
      <c r="B21" s="6" t="s">
        <v>1291</v>
      </c>
      <c r="C21" s="6" t="s">
        <v>1292</v>
      </c>
      <c r="D21" s="6" t="s">
        <v>1293</v>
      </c>
      <c r="E21" s="6" t="s">
        <v>1294</v>
      </c>
    </row>
    <row r="22" customFormat="false" ht="15" hidden="false" customHeight="false" outlineLevel="0" collapsed="false">
      <c r="A22" s="4" t="s">
        <v>13</v>
      </c>
      <c r="B22" s="57" t="n">
        <v>49</v>
      </c>
      <c r="C22" s="75" t="n">
        <f aca="false">Plans!$D$6</f>
        <v>49</v>
      </c>
      <c r="D22" s="80" t="n">
        <f aca="false">Plans!$D$61</f>
        <v>0.673867185842955</v>
      </c>
      <c r="E22" s="3" t="s">
        <v>1295</v>
      </c>
    </row>
    <row r="23" customFormat="false" ht="15" hidden="false" customHeight="false" outlineLevel="0" collapsed="false">
      <c r="A23" s="4" t="s">
        <v>14</v>
      </c>
      <c r="B23" s="57" t="n">
        <v>149</v>
      </c>
      <c r="C23" s="75" t="n">
        <f aca="false">Plans!$E$6</f>
        <v>149</v>
      </c>
      <c r="D23" s="80" t="n">
        <f aca="false">Plans!$E$61</f>
        <v>0.672694696553198</v>
      </c>
      <c r="E23" s="3" t="s">
        <v>1296</v>
      </c>
    </row>
    <row r="24" customFormat="false" ht="15" hidden="false" customHeight="false" outlineLevel="0" collapsed="false">
      <c r="A24" s="4" t="s">
        <v>15</v>
      </c>
      <c r="B24" s="57" t="n">
        <v>399</v>
      </c>
      <c r="C24" s="75" t="n">
        <f aca="false">Plans!$F$6</f>
        <v>449</v>
      </c>
      <c r="D24" s="80" t="n">
        <f aca="false">Plans!$F$61</f>
        <v>0.668161803456408</v>
      </c>
      <c r="E24" s="3" t="s">
        <v>1297</v>
      </c>
    </row>
    <row r="25" customFormat="false" ht="15" hidden="false" customHeight="false" outlineLevel="0" collapsed="false">
      <c r="A25" s="4" t="s">
        <v>16</v>
      </c>
      <c r="B25" s="57" t="n">
        <v>999</v>
      </c>
      <c r="C25" s="75" t="n">
        <f aca="false">Plans!$G$6</f>
        <v>1199</v>
      </c>
      <c r="D25" s="80" t="n">
        <f aca="false">Plans!$G$61</f>
        <v>0.633882845137753</v>
      </c>
      <c r="E25" s="3"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8"/>
    <col collapsed="false" customWidth="true" hidden="false" outlineLevel="0" max="4" min="4" style="0" width="22"/>
    <col collapsed="false" customWidth="true" hidden="false" outlineLevel="0" max="6" min="5" style="0" width="14"/>
    <col collapsed="false" customWidth="true" hidden="false" outlineLevel="0" max="7" min="7" style="0" width="11"/>
    <col collapsed="false" customWidth="true" hidden="false" outlineLevel="0" max="8" min="8" style="0" width="16"/>
    <col collapsed="false" customWidth="true" hidden="false" outlineLevel="0" max="9" min="9" style="0" width="14"/>
    <col collapsed="false" customWidth="true" hidden="false" outlineLevel="0" max="10" min="10" style="0" width="30"/>
    <col collapsed="false" customWidth="true" hidden="false" outlineLevel="0" max="11" min="11" style="0" width="8"/>
  </cols>
  <sheetData>
    <row r="1" customFormat="false" ht="17.35" hidden="false" customHeight="false" outlineLevel="0" collapsed="false">
      <c r="A1" s="1" t="s">
        <v>1299</v>
      </c>
      <c r="B1" s="2"/>
      <c r="C1" s="2"/>
      <c r="D1" s="2"/>
      <c r="E1" s="2"/>
      <c r="F1" s="2"/>
      <c r="G1" s="2"/>
      <c r="H1" s="2"/>
      <c r="I1" s="2"/>
      <c r="J1" s="2"/>
      <c r="K1" s="2"/>
    </row>
    <row r="2" customFormat="false" ht="15" hidden="false" customHeight="false" outlineLevel="0" collapsed="false">
      <c r="A2" s="3" t="s">
        <v>1300</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0" hidden="false" customHeight="true" outlineLevel="0" collapsed="false">
      <c r="A4" s="6" t="s">
        <v>4</v>
      </c>
      <c r="B4" s="6" t="s">
        <v>1301</v>
      </c>
      <c r="C4" s="6" t="s">
        <v>1302</v>
      </c>
      <c r="D4" s="6" t="s">
        <v>1303</v>
      </c>
      <c r="E4" s="6" t="s">
        <v>1304</v>
      </c>
      <c r="F4" s="6" t="s">
        <v>532</v>
      </c>
      <c r="G4" s="6" t="s">
        <v>1305</v>
      </c>
      <c r="H4" s="6" t="s">
        <v>1306</v>
      </c>
      <c r="I4" s="6" t="s">
        <v>1307</v>
      </c>
      <c r="J4" s="4" t="s">
        <v>1308</v>
      </c>
      <c r="K4" s="2"/>
    </row>
    <row r="5" customFormat="false" ht="15" hidden="false" customHeight="false" outlineLevel="0" collapsed="false">
      <c r="A5" s="4" t="s">
        <v>13</v>
      </c>
      <c r="B5" s="75" t="n">
        <f aca="false">Plans!$D$6</f>
        <v>49</v>
      </c>
      <c r="C5" s="81" t="n">
        <f aca="false">ROUND(B5*Inputs!$B$5,-2)</f>
        <v>13600</v>
      </c>
      <c r="D5" s="74" t="n">
        <v>9999</v>
      </c>
      <c r="E5" s="49" t="n">
        <f aca="false">D5/Inputs!$B$5</f>
        <v>36.0857483128226</v>
      </c>
      <c r="F5" s="69" t="n">
        <f aca="false">Plans!$D$54</f>
        <v>11.9280078936952</v>
      </c>
      <c r="G5" s="49" t="n">
        <f aca="false">E5*$K$5</f>
        <v>1.08257244938468</v>
      </c>
      <c r="H5" s="49" t="n">
        <f aca="false">E5-E5/(1+$K$6)</f>
        <v>1.71836896727726</v>
      </c>
      <c r="I5" s="46" t="n">
        <f aca="false">(E5-F5-G5-H5)/E5</f>
        <v>0.591834727032017</v>
      </c>
      <c r="J5" s="50" t="s">
        <v>1309</v>
      </c>
      <c r="K5" s="53" t="n">
        <v>0.03</v>
      </c>
    </row>
    <row r="6" customFormat="false" ht="15" hidden="false" customHeight="false" outlineLevel="0" collapsed="false">
      <c r="A6" s="4" t="s">
        <v>14</v>
      </c>
      <c r="B6" s="75" t="n">
        <f aca="false">Plans!$E$6</f>
        <v>149</v>
      </c>
      <c r="C6" s="81" t="n">
        <f aca="false">ROUND(B6*Inputs!$B$5,-2)</f>
        <v>41300</v>
      </c>
      <c r="D6" s="74" t="n">
        <v>29999</v>
      </c>
      <c r="E6" s="49" t="n">
        <f aca="false">D6/Inputs!$B$5</f>
        <v>108.264462809917</v>
      </c>
      <c r="F6" s="69" t="n">
        <f aca="false">Plans!$E$54</f>
        <v>37.4659902135736</v>
      </c>
      <c r="G6" s="49" t="n">
        <f aca="false">E6*$K$5</f>
        <v>3.24793388429752</v>
      </c>
      <c r="H6" s="49" t="n">
        <f aca="false">E6-E6/(1+$K$6)</f>
        <v>5.15545060999607</v>
      </c>
      <c r="I6" s="46" t="n">
        <f aca="false">(E6-F6-G6-H6)/E6</f>
        <v>0.576321042774662</v>
      </c>
      <c r="J6" s="50" t="s">
        <v>1310</v>
      </c>
      <c r="K6" s="53" t="n">
        <v>0.05</v>
      </c>
    </row>
    <row r="7" customFormat="false" ht="15" hidden="false" customHeight="false" outlineLevel="0" collapsed="false">
      <c r="A7" s="4" t="s">
        <v>15</v>
      </c>
      <c r="B7" s="75" t="n">
        <f aca="false">Plans!$F$6</f>
        <v>449</v>
      </c>
      <c r="C7" s="81" t="n">
        <f aca="false">ROUND(B7*Inputs!$B$5,-2)</f>
        <v>124400</v>
      </c>
      <c r="D7" s="74" t="n">
        <v>94999</v>
      </c>
      <c r="E7" s="49" t="n">
        <f aca="false">D7/Inputs!$B$5</f>
        <v>342.845284925476</v>
      </c>
      <c r="F7" s="69" t="n">
        <f aca="false">Plans!$F$54</f>
        <v>115.942850248073</v>
      </c>
      <c r="G7" s="49" t="n">
        <f aca="false">E7*$K$5</f>
        <v>10.2853585477643</v>
      </c>
      <c r="H7" s="49" t="n">
        <f aca="false">E7-E7/(1+$K$6)</f>
        <v>16.3259659488322</v>
      </c>
      <c r="I7" s="46" t="n">
        <f aca="false">(E7-F7-G7-H7)/E7</f>
        <v>0.584202609711677</v>
      </c>
      <c r="J7" s="2"/>
      <c r="K7" s="2"/>
    </row>
    <row r="8" customFormat="false" ht="15" hidden="false" customHeight="false" outlineLevel="0" collapsed="false">
      <c r="A8" s="4" t="s">
        <v>16</v>
      </c>
      <c r="B8" s="75" t="n">
        <f aca="false">Plans!$G$6</f>
        <v>1199</v>
      </c>
      <c r="C8" s="81" t="n">
        <f aca="false">ROUND(B8*Inputs!$B$5,-2)</f>
        <v>332200</v>
      </c>
      <c r="D8" s="74" t="n">
        <v>249999</v>
      </c>
      <c r="E8" s="49" t="n">
        <f aca="false">D8/Inputs!$B$5</f>
        <v>902.23032227796</v>
      </c>
      <c r="F8" s="69" t="n">
        <f aca="false">Plans!$G$54</f>
        <v>351.546968679834</v>
      </c>
      <c r="G8" s="49" t="n">
        <f aca="false">E8*$K$5</f>
        <v>27.0669096683388</v>
      </c>
      <c r="H8" s="49" t="n">
        <f aca="false">E8-E8/(1+$K$6)</f>
        <v>42.9633486799029</v>
      </c>
      <c r="I8" s="46" t="n">
        <f aca="false">(E8-F8-G8-H8)/E8</f>
        <v>0.532738795606345</v>
      </c>
      <c r="J8" s="2"/>
      <c r="K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64"/>
    <col collapsed="false" customWidth="true" hidden="false" outlineLevel="0" max="4" min="4" style="0" width="32"/>
    <col collapsed="false" customWidth="true" hidden="false" outlineLevel="0" max="5" min="5" style="0" width="64"/>
  </cols>
  <sheetData>
    <row r="1" customFormat="false" ht="17.35" hidden="false" customHeight="false" outlineLevel="0" collapsed="false">
      <c r="A1" s="1" t="s">
        <v>1311</v>
      </c>
      <c r="B1" s="2"/>
      <c r="C1" s="2"/>
      <c r="D1" s="2"/>
      <c r="E1" s="2"/>
    </row>
    <row r="2" customFormat="false" ht="15" hidden="false" customHeight="false" outlineLevel="0" collapsed="false">
      <c r="A2" s="3" t="s">
        <v>1312</v>
      </c>
      <c r="B2" s="2"/>
      <c r="C2" s="2"/>
      <c r="D2" s="2"/>
      <c r="E2" s="2"/>
    </row>
    <row r="3" customFormat="false" ht="15" hidden="false" customHeight="false" outlineLevel="0" collapsed="false">
      <c r="A3" s="2"/>
      <c r="B3" s="2"/>
      <c r="C3" s="2"/>
      <c r="D3" s="2"/>
      <c r="E3" s="2"/>
    </row>
    <row r="4" customFormat="false" ht="30" hidden="false" customHeight="true" outlineLevel="0" collapsed="false">
      <c r="A4" s="6" t="s">
        <v>1313</v>
      </c>
      <c r="B4" s="6" t="s">
        <v>1314</v>
      </c>
      <c r="C4" s="6" t="s">
        <v>1315</v>
      </c>
      <c r="D4" s="6" t="s">
        <v>1316</v>
      </c>
      <c r="E4" s="6" t="s">
        <v>1317</v>
      </c>
    </row>
    <row r="5" customFormat="false" ht="35.05" hidden="false" customHeight="false" outlineLevel="0" collapsed="false">
      <c r="A5" s="12" t="n">
        <v>1</v>
      </c>
      <c r="B5" s="82" t="s">
        <v>1318</v>
      </c>
      <c r="C5" s="17" t="s">
        <v>1319</v>
      </c>
      <c r="D5" s="17" t="s">
        <v>1320</v>
      </c>
      <c r="E5" s="17" t="s">
        <v>1321</v>
      </c>
    </row>
    <row r="6" customFormat="false" ht="23.85" hidden="false" customHeight="false" outlineLevel="0" collapsed="false">
      <c r="A6" s="12" t="n">
        <v>2</v>
      </c>
      <c r="B6" s="82" t="s">
        <v>1318</v>
      </c>
      <c r="C6" s="17" t="s">
        <v>1322</v>
      </c>
      <c r="D6" s="17" t="s">
        <v>1323</v>
      </c>
      <c r="E6" s="17" t="s">
        <v>1324</v>
      </c>
    </row>
    <row r="7" customFormat="false" ht="46.25" hidden="false" customHeight="false" outlineLevel="0" collapsed="false">
      <c r="A7" s="12" t="n">
        <v>3</v>
      </c>
      <c r="B7" s="7" t="s">
        <v>1325</v>
      </c>
      <c r="C7" s="17" t="s">
        <v>1326</v>
      </c>
      <c r="D7" s="17" t="s">
        <v>1327</v>
      </c>
      <c r="E7" s="17" t="s">
        <v>1328</v>
      </c>
    </row>
    <row r="8" customFormat="false" ht="46.25" hidden="false" customHeight="false" outlineLevel="0" collapsed="false">
      <c r="A8" s="12" t="n">
        <v>4</v>
      </c>
      <c r="B8" s="82" t="s">
        <v>1318</v>
      </c>
      <c r="C8" s="17" t="s">
        <v>1329</v>
      </c>
      <c r="D8" s="17" t="s">
        <v>1330</v>
      </c>
      <c r="E8" s="17" t="s">
        <v>1331</v>
      </c>
    </row>
    <row r="9" customFormat="false" ht="35.05" hidden="false" customHeight="false" outlineLevel="0" collapsed="false">
      <c r="A9" s="12" t="n">
        <v>5</v>
      </c>
      <c r="B9" s="82" t="s">
        <v>1318</v>
      </c>
      <c r="C9" s="17" t="s">
        <v>1332</v>
      </c>
      <c r="D9" s="17" t="s">
        <v>1333</v>
      </c>
      <c r="E9" s="17" t="s">
        <v>1334</v>
      </c>
    </row>
    <row r="10" customFormat="false" ht="23.85" hidden="false" customHeight="false" outlineLevel="0" collapsed="false">
      <c r="A10" s="12" t="n">
        <v>6</v>
      </c>
      <c r="B10" s="7" t="s">
        <v>1325</v>
      </c>
      <c r="C10" s="17" t="s">
        <v>1335</v>
      </c>
      <c r="D10" s="17" t="s">
        <v>1336</v>
      </c>
      <c r="E10" s="17" t="s">
        <v>1337</v>
      </c>
    </row>
    <row r="11" customFormat="false" ht="23.85" hidden="false" customHeight="false" outlineLevel="0" collapsed="false">
      <c r="A11" s="12" t="n">
        <v>7</v>
      </c>
      <c r="B11" s="7" t="s">
        <v>1325</v>
      </c>
      <c r="C11" s="17" t="s">
        <v>1338</v>
      </c>
      <c r="D11" s="17" t="s">
        <v>1339</v>
      </c>
      <c r="E11" s="17" t="s">
        <v>1340</v>
      </c>
    </row>
    <row r="12" customFormat="false" ht="23.85" hidden="false" customHeight="false" outlineLevel="0" collapsed="false">
      <c r="A12" s="12" t="n">
        <v>8</v>
      </c>
      <c r="B12" s="7" t="s">
        <v>1325</v>
      </c>
      <c r="C12" s="17" t="s">
        <v>1341</v>
      </c>
      <c r="D12" s="17" t="s">
        <v>1342</v>
      </c>
      <c r="E12" s="17" t="s">
        <v>1343</v>
      </c>
    </row>
    <row r="13" customFormat="false" ht="35.05" hidden="false" customHeight="false" outlineLevel="0" collapsed="false">
      <c r="A13" s="12" t="n">
        <v>9</v>
      </c>
      <c r="B13" s="7" t="s">
        <v>1325</v>
      </c>
      <c r="C13" s="17" t="s">
        <v>1344</v>
      </c>
      <c r="D13" s="17" t="s">
        <v>1345</v>
      </c>
      <c r="E13" s="17" t="s">
        <v>1346</v>
      </c>
    </row>
    <row r="14" customFormat="false" ht="23.85" hidden="false" customHeight="false" outlineLevel="0" collapsed="false">
      <c r="A14" s="12" t="n">
        <v>10</v>
      </c>
      <c r="B14" s="7" t="s">
        <v>1325</v>
      </c>
      <c r="C14" s="17" t="s">
        <v>1347</v>
      </c>
      <c r="D14" s="17" t="s">
        <v>1348</v>
      </c>
      <c r="E14" s="17" t="s">
        <v>1349</v>
      </c>
    </row>
    <row r="15" customFormat="false" ht="23.85" hidden="false" customHeight="false" outlineLevel="0" collapsed="false">
      <c r="A15" s="12" t="n">
        <v>11</v>
      </c>
      <c r="B15" s="7" t="s">
        <v>1325</v>
      </c>
      <c r="C15" s="17" t="s">
        <v>1350</v>
      </c>
      <c r="D15" s="17" t="s">
        <v>1351</v>
      </c>
      <c r="E15" s="17" t="s">
        <v>1352</v>
      </c>
    </row>
    <row r="16" customFormat="false" ht="15" hidden="false" customHeight="false" outlineLevel="0" collapsed="false">
      <c r="A16" s="12" t="n">
        <v>12</v>
      </c>
      <c r="B16" s="7" t="s">
        <v>1353</v>
      </c>
      <c r="C16" s="17" t="s">
        <v>1354</v>
      </c>
      <c r="D16" s="17" t="s">
        <v>1355</v>
      </c>
      <c r="E16" s="17" t="s">
        <v>1356</v>
      </c>
    </row>
    <row r="17" customFormat="false" ht="23.85" hidden="false" customHeight="false" outlineLevel="0" collapsed="false">
      <c r="A17" s="12" t="n">
        <v>13</v>
      </c>
      <c r="B17" s="7" t="s">
        <v>1357</v>
      </c>
      <c r="C17" s="17" t="s">
        <v>1358</v>
      </c>
      <c r="D17" s="17" t="s">
        <v>1359</v>
      </c>
      <c r="E17" s="17" t="s">
        <v>1360</v>
      </c>
    </row>
    <row r="18" customFormat="false" ht="23.85" hidden="false" customHeight="false" outlineLevel="0" collapsed="false">
      <c r="A18" s="12" t="n">
        <v>14</v>
      </c>
      <c r="B18" s="7" t="s">
        <v>1361</v>
      </c>
      <c r="C18" s="17" t="s">
        <v>1362</v>
      </c>
      <c r="D18" s="17" t="s">
        <v>1363</v>
      </c>
      <c r="E18" s="17" t="s">
        <v>1364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1365</v>
      </c>
    </row>
    <row r="2" customFormat="false" ht="15" hidden="false" customHeight="false" outlineLevel="0" collapsed="false">
      <c r="A2" s="3" t="s">
        <v>1366</v>
      </c>
    </row>
    <row r="3" customFormat="false" ht="15" hidden="false" customHeight="false" outlineLevel="0" collapsed="false">
      <c r="A3" s="2"/>
    </row>
    <row r="4" customFormat="false" ht="15" hidden="false" customHeight="false" outlineLevel="0" collapsed="false">
      <c r="A4" s="4" t="s">
        <v>1367</v>
      </c>
    </row>
    <row r="5" customFormat="false" ht="105" hidden="false" customHeight="true" outlineLevel="0" collapsed="false">
      <c r="A5" s="83" t="s">
        <v>1368</v>
      </c>
    </row>
    <row r="6" customFormat="false" ht="15" hidden="false" customHeight="false" outlineLevel="0" collapsed="false">
      <c r="A6" s="2"/>
    </row>
    <row r="7" customFormat="false" ht="15" hidden="false" customHeight="false" outlineLevel="0" collapsed="false">
      <c r="A7" s="4" t="s">
        <v>1369</v>
      </c>
    </row>
    <row r="8" customFormat="false" ht="75" hidden="false" customHeight="true" outlineLevel="0" collapsed="false">
      <c r="A8" s="83" t="s">
        <v>1370</v>
      </c>
    </row>
    <row r="9" customFormat="false" ht="15" hidden="false" customHeight="false" outlineLevel="0" collapsed="false">
      <c r="A9" s="2"/>
    </row>
    <row r="10" customFormat="false" ht="15" hidden="false" customHeight="false" outlineLevel="0" collapsed="false">
      <c r="A10" s="4" t="s">
        <v>1371</v>
      </c>
    </row>
    <row r="11" customFormat="false" ht="75" hidden="false" customHeight="true" outlineLevel="0" collapsed="false">
      <c r="A11" s="83" t="s">
        <v>1372</v>
      </c>
    </row>
    <row r="12" customFormat="false" ht="15" hidden="false" customHeight="false" outlineLevel="0" collapsed="false">
      <c r="A12" s="2"/>
    </row>
    <row r="13" customFormat="false" ht="15" hidden="false" customHeight="false" outlineLevel="0" collapsed="false">
      <c r="A13" s="4" t="s">
        <v>1373</v>
      </c>
    </row>
    <row r="14" customFormat="false" ht="60" hidden="false" customHeight="true" outlineLevel="0" collapsed="false">
      <c r="A14" s="83" t="s">
        <v>1374</v>
      </c>
    </row>
    <row r="15" customFormat="false" ht="15" hidden="false" customHeight="false" outlineLevel="0" collapsed="false">
      <c r="A15" s="2"/>
    </row>
    <row r="16" customFormat="false" ht="15" hidden="false" customHeight="false" outlineLevel="0" collapsed="false">
      <c r="A16" s="4" t="s">
        <v>1375</v>
      </c>
    </row>
    <row r="17" customFormat="false" ht="30" hidden="false" customHeight="true" outlineLevel="0" collapsed="false">
      <c r="A17" s="83" t="s">
        <v>1376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2026-09-29T15:05:25Z</dcterms:created>
  <dc:creator>openpyxl</dc:creator>
  <dc:description/>
  <dc:language>en-US</dc:language>
  <cp:lastModifiedBy/>
  <dcterms:modified xsi:type="dcterms:W3CDTF">2026-09-29T15:05:26Z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